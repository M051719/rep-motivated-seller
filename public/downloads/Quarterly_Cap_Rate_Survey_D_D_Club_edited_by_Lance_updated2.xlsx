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dy\Documents\Melanie (Folder Stuff)\"/>
    </mc:Choice>
  </mc:AlternateContent>
  <xr:revisionPtr revIDLastSave="0" documentId="8_{8972452F-3E84-4862-A196-98F55C1A234A}" xr6:coauthVersionLast="37" xr6:coauthVersionMax="37" xr10:uidLastSave="{00000000-0000-0000-0000-000000000000}"/>
  <bookViews>
    <workbookView xWindow="0" yWindow="0" windowWidth="20490" windowHeight="7485" xr2:uid="{00000000-000D-0000-FFFF-FFFF00000000}"/>
  </bookViews>
  <sheets>
    <sheet name="Cap Rate" sheetId="1" r:id="rId1"/>
  </sheets>
  <calcPr calcId="179021" iterateDelta="0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8" i="1" l="1"/>
  <c r="O39" i="1"/>
  <c r="O48" i="1"/>
  <c r="O28" i="1"/>
  <c r="O45" i="1"/>
  <c r="O46" i="1"/>
  <c r="O40" i="1"/>
  <c r="O44" i="1"/>
  <c r="O43" i="1"/>
  <c r="O41" i="1"/>
  <c r="O36" i="1"/>
  <c r="O34" i="1"/>
  <c r="O31" i="1"/>
  <c r="O23" i="1"/>
  <c r="O22" i="1"/>
  <c r="O14" i="1"/>
  <c r="O3" i="1"/>
  <c r="O47" i="1"/>
  <c r="O42" i="1"/>
  <c r="O30" i="1"/>
  <c r="O26" i="1"/>
  <c r="O21" i="1"/>
  <c r="O18" i="1"/>
  <c r="O17" i="1"/>
  <c r="O15" i="1"/>
  <c r="O13" i="1"/>
  <c r="O12" i="1"/>
  <c r="O11" i="1"/>
  <c r="O10" i="1"/>
  <c r="O9" i="1"/>
  <c r="O5" i="1"/>
  <c r="O50" i="1"/>
  <c r="O49" i="1"/>
  <c r="O37" i="1"/>
  <c r="O35" i="1"/>
  <c r="O33" i="1"/>
  <c r="O32" i="1"/>
  <c r="O29" i="1"/>
  <c r="O27" i="1"/>
  <c r="O25" i="1"/>
  <c r="O24" i="1"/>
  <c r="O20" i="1"/>
  <c r="O8" i="1"/>
  <c r="O7" i="1"/>
  <c r="O6" i="1"/>
  <c r="O4" i="1"/>
  <c r="P38" i="1"/>
  <c r="Q38" i="1"/>
  <c r="P39" i="1"/>
  <c r="Q39" i="1"/>
  <c r="P48" i="1"/>
  <c r="Q48" i="1"/>
  <c r="P28" i="1"/>
  <c r="Q28" i="1"/>
  <c r="P45" i="1"/>
  <c r="Q45" i="1"/>
  <c r="P46" i="1"/>
  <c r="Q46" i="1"/>
  <c r="P40" i="1"/>
  <c r="Q40" i="1"/>
  <c r="P44" i="1"/>
  <c r="Q44" i="1"/>
  <c r="P43" i="1"/>
  <c r="Q43" i="1"/>
  <c r="P41" i="1"/>
  <c r="Q41" i="1"/>
  <c r="P36" i="1"/>
  <c r="Q36" i="1"/>
  <c r="P34" i="1"/>
  <c r="Q34" i="1"/>
  <c r="P31" i="1"/>
  <c r="Q31" i="1"/>
  <c r="P23" i="1"/>
  <c r="Q23" i="1"/>
  <c r="P22" i="1"/>
  <c r="Q22" i="1"/>
  <c r="P14" i="1"/>
  <c r="Q14" i="1"/>
  <c r="P3" i="1"/>
  <c r="Q3" i="1"/>
  <c r="P47" i="1"/>
  <c r="Q47" i="1"/>
  <c r="P42" i="1"/>
  <c r="Q42" i="1"/>
  <c r="P30" i="1"/>
  <c r="Q30" i="1"/>
  <c r="P26" i="1"/>
  <c r="Q26" i="1"/>
  <c r="P21" i="1"/>
  <c r="Q21" i="1"/>
  <c r="P18" i="1"/>
  <c r="Q18" i="1"/>
  <c r="P17" i="1"/>
  <c r="Q17" i="1"/>
  <c r="P15" i="1"/>
  <c r="Q15" i="1"/>
  <c r="P13" i="1"/>
  <c r="Q13" i="1"/>
  <c r="P12" i="1"/>
  <c r="Q12" i="1"/>
  <c r="P11" i="1"/>
  <c r="Q11" i="1"/>
  <c r="P10" i="1"/>
  <c r="Q10" i="1"/>
  <c r="P9" i="1"/>
  <c r="Q9" i="1"/>
  <c r="P5" i="1"/>
  <c r="Q5" i="1"/>
  <c r="P50" i="1"/>
  <c r="Q50" i="1"/>
  <c r="P49" i="1"/>
  <c r="Q49" i="1"/>
  <c r="P37" i="1"/>
  <c r="Q37" i="1"/>
  <c r="P35" i="1"/>
  <c r="Q35" i="1"/>
  <c r="P33" i="1"/>
  <c r="Q33" i="1"/>
  <c r="P32" i="1"/>
  <c r="Q32" i="1"/>
  <c r="P29" i="1"/>
  <c r="Q29" i="1"/>
  <c r="P27" i="1"/>
  <c r="Q27" i="1"/>
  <c r="P25" i="1"/>
  <c r="Q25" i="1"/>
  <c r="P24" i="1"/>
  <c r="Q24" i="1"/>
  <c r="P20" i="1"/>
  <c r="Q20" i="1"/>
  <c r="P8" i="1"/>
  <c r="Q8" i="1"/>
  <c r="P7" i="1"/>
  <c r="Q7" i="1"/>
  <c r="P6" i="1"/>
  <c r="Q6" i="1"/>
  <c r="P4" i="1"/>
  <c r="Q4" i="1"/>
</calcChain>
</file>

<file path=xl/sharedStrings.xml><?xml version="1.0" encoding="utf-8"?>
<sst xmlns="http://schemas.openxmlformats.org/spreadsheetml/2006/main" count="419" uniqueCount="175">
  <si>
    <t>CBRE</t>
  </si>
  <si>
    <t>City</t>
  </si>
  <si>
    <t>State</t>
  </si>
  <si>
    <t>Class B</t>
  </si>
  <si>
    <t>Class C</t>
  </si>
  <si>
    <t>Class A, stable</t>
  </si>
  <si>
    <t>Class B, stable</t>
  </si>
  <si>
    <t>Class B, val add</t>
  </si>
  <si>
    <t>Class C, stable</t>
  </si>
  <si>
    <t>Atlanta</t>
  </si>
  <si>
    <t>GA</t>
  </si>
  <si>
    <t>4.5-5</t>
  </si>
  <si>
    <t>5.75-6.25</t>
  </si>
  <si>
    <t>5-5.5</t>
  </si>
  <si>
    <t>6-6.5</t>
  </si>
  <si>
    <t>7-7.5</t>
  </si>
  <si>
    <t>Baltimore</t>
  </si>
  <si>
    <t>MD</t>
  </si>
  <si>
    <t>4.75-5</t>
  </si>
  <si>
    <t>4.25-5</t>
  </si>
  <si>
    <t>4.75-5.25</t>
  </si>
  <si>
    <t>5.25-5.75</t>
  </si>
  <si>
    <t>Boston</t>
  </si>
  <si>
    <t>MA</t>
  </si>
  <si>
    <t>4-4.5</t>
  </si>
  <si>
    <t>5.5-6</t>
  </si>
  <si>
    <t>-</t>
  </si>
  <si>
    <t>6.2-6.75</t>
  </si>
  <si>
    <t>Charlotte</t>
  </si>
  <si>
    <t>NC</t>
  </si>
  <si>
    <t>5-5.25</t>
  </si>
  <si>
    <t>Jacksonville</t>
  </si>
  <si>
    <t>FL</t>
  </si>
  <si>
    <t>6.25-7</t>
  </si>
  <si>
    <t>6.75-7.5</t>
  </si>
  <si>
    <t>7.5-10</t>
  </si>
  <si>
    <t>Memphis</t>
  </si>
  <si>
    <t>TN</t>
  </si>
  <si>
    <t>Miami</t>
  </si>
  <si>
    <t>4.25-4.75</t>
  </si>
  <si>
    <t>5.5-6.25</t>
  </si>
  <si>
    <t>Nashville</t>
  </si>
  <si>
    <t>6.75-7.25</t>
  </si>
  <si>
    <t>New York</t>
  </si>
  <si>
    <t>NY</t>
  </si>
  <si>
    <t>3.75-4.25</t>
  </si>
  <si>
    <t>4.75-5.5</t>
  </si>
  <si>
    <t>5.25-6</t>
  </si>
  <si>
    <t>Orlando</t>
  </si>
  <si>
    <t>6.5-7</t>
  </si>
  <si>
    <t>Philadelphia</t>
  </si>
  <si>
    <t>PA</t>
  </si>
  <si>
    <t>7-7.75</t>
  </si>
  <si>
    <t>6.25-6.75</t>
  </si>
  <si>
    <t>7.5-8</t>
  </si>
  <si>
    <t>Pittsburgh</t>
  </si>
  <si>
    <t>8.5-9</t>
  </si>
  <si>
    <t>Raleigh</t>
  </si>
  <si>
    <t>5.25-5.5</t>
  </si>
  <si>
    <t>Tampa</t>
  </si>
  <si>
    <t>Washington</t>
  </si>
  <si>
    <t>DC</t>
  </si>
  <si>
    <t>5.5-6.5</t>
  </si>
  <si>
    <t>7.5-8.5</t>
  </si>
  <si>
    <t>Austin</t>
  </si>
  <si>
    <t>TX</t>
  </si>
  <si>
    <t>Chicago</t>
  </si>
  <si>
    <t>IL</t>
  </si>
  <si>
    <t>4.25-4.5</t>
  </si>
  <si>
    <t>Cincinnati</t>
  </si>
  <si>
    <t>OH</t>
  </si>
  <si>
    <t>6-7.5</t>
  </si>
  <si>
    <t>6.5-8</t>
  </si>
  <si>
    <t>8.0-9.0</t>
  </si>
  <si>
    <t>Cleveland</t>
  </si>
  <si>
    <t>7.0-8.0</t>
  </si>
  <si>
    <t>7.5-7.75</t>
  </si>
  <si>
    <t>8.5-8.75</t>
  </si>
  <si>
    <t>Columbus</t>
  </si>
  <si>
    <t>5.0-6.0</t>
  </si>
  <si>
    <t>6.25-7.25</t>
  </si>
  <si>
    <t>7.5-9.5</t>
  </si>
  <si>
    <t>8.75-9.25</t>
  </si>
  <si>
    <t>Dallas - Ft. Worth</t>
  </si>
  <si>
    <t>4.5-5.25</t>
  </si>
  <si>
    <t>6.0-7.0</t>
  </si>
  <si>
    <t>Detroit</t>
  </si>
  <si>
    <t>MI</t>
  </si>
  <si>
    <t>7.5-8.25</t>
  </si>
  <si>
    <t>9.5-11.5</t>
  </si>
  <si>
    <t>9.5-10.5</t>
  </si>
  <si>
    <t>Houston</t>
  </si>
  <si>
    <t>7.25-8</t>
  </si>
  <si>
    <t>Indianapolis</t>
  </si>
  <si>
    <t>IN</t>
  </si>
  <si>
    <t>Kansas City</t>
  </si>
  <si>
    <t>MO</t>
  </si>
  <si>
    <t>Minneapolis</t>
  </si>
  <si>
    <t>MN</t>
  </si>
  <si>
    <t>Oklahoma City</t>
  </si>
  <si>
    <t>OK</t>
  </si>
  <si>
    <t>7.25-7.75</t>
  </si>
  <si>
    <t>8.25-9.25</t>
  </si>
  <si>
    <t>8-8.5</t>
  </si>
  <si>
    <t>San Antonio</t>
  </si>
  <si>
    <t>5.75-6.5</t>
  </si>
  <si>
    <t>St. Louis</t>
  </si>
  <si>
    <t>5.5-5.75</t>
  </si>
  <si>
    <t>Albuquerque</t>
  </si>
  <si>
    <t>NM</t>
  </si>
  <si>
    <t>Denver</t>
  </si>
  <si>
    <t>CO</t>
  </si>
  <si>
    <t>Las Vegas</t>
  </si>
  <si>
    <t>NV</t>
  </si>
  <si>
    <t>6.5-7.25</t>
  </si>
  <si>
    <t>Los Angelas</t>
  </si>
  <si>
    <t>CA</t>
  </si>
  <si>
    <t>4-4.25</t>
  </si>
  <si>
    <t>Orange County</t>
  </si>
  <si>
    <t>3.75-4</t>
  </si>
  <si>
    <t>4-5.25</t>
  </si>
  <si>
    <t>Phoenix</t>
  </si>
  <si>
    <t>AZ</t>
  </si>
  <si>
    <t>Portland</t>
  </si>
  <si>
    <t>OR</t>
  </si>
  <si>
    <t>4.5-4.75</t>
  </si>
  <si>
    <t>Salt Lake City</t>
  </si>
  <si>
    <t>UT</t>
  </si>
  <si>
    <t>San Diego</t>
  </si>
  <si>
    <t>San Francisco</t>
  </si>
  <si>
    <t>3.5-4</t>
  </si>
  <si>
    <t>Sacramento</t>
  </si>
  <si>
    <t>Seattle</t>
  </si>
  <si>
    <t>WA</t>
  </si>
  <si>
    <t>5.25-6.25</t>
  </si>
  <si>
    <t>San Jose</t>
  </si>
  <si>
    <t>NJ</t>
  </si>
  <si>
    <t>Stamford</t>
  </si>
  <si>
    <t>S. Ca Insland Empire</t>
  </si>
  <si>
    <t>5-5.6</t>
  </si>
  <si>
    <t>Richmond</t>
  </si>
  <si>
    <t>VA</t>
  </si>
  <si>
    <t>5.75-7</t>
  </si>
  <si>
    <t>6.75-8</t>
  </si>
  <si>
    <t>7.5-9</t>
  </si>
  <si>
    <t>http://www.cbre.us/o/cincinnati/AssetLibrary/MF_CapRate_H12015_Master.pdf</t>
  </si>
  <si>
    <t>Revisions</t>
  </si>
  <si>
    <t>call brokers</t>
  </si>
  <si>
    <t>1.  National Cap Rate is simply too high.  Do not use.  Use CBRE Average for stable or value-add</t>
  </si>
  <si>
    <t xml:space="preserve"> </t>
  </si>
  <si>
    <t>National Cap Rate (omit from report)</t>
  </si>
  <si>
    <r>
      <t>Class C Variance</t>
    </r>
    <r>
      <rPr>
        <b/>
        <sz val="8"/>
        <rFont val="Arial"/>
        <family val="2"/>
      </rPr>
      <t xml:space="preserve"> 
(Val Add - Stable)</t>
    </r>
  </si>
  <si>
    <t>Class C Average of Stable &amp; Val Add</t>
  </si>
  <si>
    <t>3.  Red means they have a wide range of variance &gt;15%, or not reported</t>
  </si>
  <si>
    <t>Class C, Return on Cost</t>
  </si>
  <si>
    <t>Class C
Value Add Return on Cost
Average</t>
  </si>
  <si>
    <t>N. New Jersey</t>
  </si>
  <si>
    <t>Inland Empire</t>
  </si>
  <si>
    <t>Honolulu</t>
  </si>
  <si>
    <t>HI</t>
  </si>
  <si>
    <t>4.25</t>
  </si>
  <si>
    <t>8-9</t>
  </si>
  <si>
    <t>Class A, val add Return on Cost</t>
  </si>
  <si>
    <t>5-5.50</t>
  </si>
  <si>
    <t>5.5-6.0</t>
  </si>
  <si>
    <t>6-6.50</t>
  </si>
  <si>
    <t>6.0-6.5</t>
  </si>
  <si>
    <t>6.5-7.0</t>
  </si>
  <si>
    <t>Class A
Stable
USE ME</t>
  </si>
  <si>
    <t>Class B
Stable
USE ME</t>
  </si>
  <si>
    <t>Class C
Stable 
USE ME</t>
  </si>
  <si>
    <t xml:space="preserve">2.  Lance adjusted CBRE for our use based on our market insights. </t>
  </si>
  <si>
    <t>4.  Ignored Return on Cost as we incorporate that with the rehab costs and MAO formula.</t>
  </si>
  <si>
    <t>5.  I took average of the stable cap and then adjusted where I thought it was out of line.</t>
  </si>
  <si>
    <t>Date: February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</si>
</sst>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strike/>
      <sz val="10"/>
      <color rgb="FF000000"/>
      <name val="Arial"/>
      <family val="2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2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/>
    <xf numFmtId="0" fontId="1" fillId="3" borderId="1" xfId="0" applyFont="1" applyFill="1" applyBorder="1" applyAlignment="1"/>
    <xf numFmtId="0" fontId="1" fillId="3" borderId="4" xfId="0" applyFont="1" applyFill="1" applyBorder="1" applyAlignment="1"/>
    <xf numFmtId="0" fontId="1" fillId="4" borderId="3" xfId="0" applyFont="1" applyFill="1" applyBorder="1" applyAlignment="1">
      <alignment horizontal="center" wrapText="1"/>
    </xf>
    <xf numFmtId="0" fontId="2" fillId="5" borderId="3" xfId="0" applyFont="1" applyFill="1" applyBorder="1" applyAlignment="1"/>
    <xf numFmtId="0" fontId="2" fillId="0" borderId="0" xfId="0" applyFont="1" applyFill="1" applyBorder="1" applyAlignment="1"/>
    <xf numFmtId="0" fontId="1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/>
    <xf numFmtId="0" fontId="2" fillId="8" borderId="1" xfId="0" applyFont="1" applyFill="1" applyBorder="1" applyAlignment="1"/>
    <xf numFmtId="0" fontId="5" fillId="5" borderId="1" xfId="0" applyFont="1" applyFill="1" applyBorder="1" applyAlignment="1"/>
    <xf numFmtId="10" fontId="6" fillId="2" borderId="1" xfId="0" applyNumberFormat="1" applyFont="1" applyFill="1" applyBorder="1" applyAlignment="1"/>
    <xf numFmtId="10" fontId="6" fillId="2" borderId="4" xfId="0" applyNumberFormat="1" applyFont="1" applyFill="1" applyBorder="1" applyAlignment="1"/>
    <xf numFmtId="9" fontId="6" fillId="2" borderId="1" xfId="0" applyNumberFormat="1" applyFont="1" applyFill="1" applyBorder="1" applyAlignment="1"/>
    <xf numFmtId="0" fontId="7" fillId="2" borderId="1" xfId="0" applyFont="1" applyFill="1" applyBorder="1" applyAlignment="1"/>
    <xf numFmtId="0" fontId="7" fillId="2" borderId="4" xfId="0" applyFont="1" applyFill="1" applyBorder="1" applyAlignment="1"/>
    <xf numFmtId="0" fontId="1" fillId="4" borderId="6" xfId="0" applyFont="1" applyFill="1" applyBorder="1" applyAlignment="1">
      <alignment horizontal="center" wrapText="1"/>
    </xf>
    <xf numFmtId="0" fontId="2" fillId="5" borderId="6" xfId="0" applyFont="1" applyFill="1" applyBorder="1" applyAlignment="1"/>
    <xf numFmtId="0" fontId="2" fillId="8" borderId="6" xfId="0" applyFont="1" applyFill="1" applyBorder="1" applyAlignment="1"/>
    <xf numFmtId="0" fontId="0" fillId="5" borderId="6" xfId="0" applyFont="1" applyFill="1" applyBorder="1" applyAlignment="1"/>
    <xf numFmtId="0" fontId="0" fillId="0" borderId="1" xfId="0" applyFont="1" applyBorder="1" applyAlignment="1"/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/>
    <xf numFmtId="0" fontId="2" fillId="7" borderId="1" xfId="0" quotePrefix="1" applyFont="1" applyFill="1" applyBorder="1" applyAlignment="1">
      <alignment horizontal="center"/>
    </xf>
    <xf numFmtId="0" fontId="2" fillId="5" borderId="6" xfId="0" quotePrefix="1" applyFont="1" applyFill="1" applyBorder="1" applyAlignment="1"/>
    <xf numFmtId="0" fontId="2" fillId="5" borderId="3" xfId="0" quotePrefix="1" applyFont="1" applyFill="1" applyBorder="1" applyAlignment="1"/>
    <xf numFmtId="0" fontId="1" fillId="10" borderId="1" xfId="0" applyFont="1" applyFill="1" applyBorder="1" applyAlignment="1">
      <alignment horizontal="center" wrapText="1"/>
    </xf>
    <xf numFmtId="0" fontId="0" fillId="9" borderId="1" xfId="0" applyFont="1" applyFill="1" applyBorder="1" applyAlignment="1">
      <alignment horizontal="center"/>
    </xf>
    <xf numFmtId="2" fontId="0" fillId="9" borderId="1" xfId="0" applyNumberFormat="1" applyFon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1" fillId="6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/>
    </xf>
    <xf numFmtId="0" fontId="2" fillId="7" borderId="2" xfId="0" quotePrefix="1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5" borderId="0" xfId="0" applyFont="1" applyFill="1" applyBorder="1" applyAlignment="1"/>
    <xf numFmtId="0" fontId="0" fillId="0" borderId="0" xfId="0" applyFont="1" applyAlignment="1"/>
    <xf numFmtId="0" fontId="0" fillId="2" borderId="7" xfId="0" applyFont="1" applyFill="1" applyBorder="1" applyAlignment="1"/>
    <xf numFmtId="0" fontId="0" fillId="2" borderId="8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bre.us/o/cincinnati/AssetLibrary/MF_CapRate_H12015_Mast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workbookViewId="0">
      <pane ySplit="2" topLeftCell="A3" activePane="bottomLeft" state="frozen"/>
      <selection pane="bottomLeft" activeCell="A53" sqref="A53"/>
    </sheetView>
  </sheetViews>
  <sheetFormatPr defaultColWidth="14.42578125" defaultRowHeight="15.75" customHeight="1" x14ac:dyDescent="0.2"/>
  <cols>
    <col min="2" max="2" width="7.140625" style="29" customWidth="1"/>
    <col min="3" max="4" width="14.42578125" hidden="1" customWidth="1"/>
    <col min="6" max="6" width="14.42578125" style="26"/>
    <col min="9" max="9" width="14.42578125" style="26"/>
    <col min="12" max="12" width="14.42578125" style="26"/>
    <col min="14" max="17" width="14.42578125" style="26"/>
  </cols>
  <sheetData>
    <row r="1" spans="1:17" ht="15.75" customHeight="1" x14ac:dyDescent="0.2">
      <c r="A1" s="23"/>
      <c r="B1" s="30"/>
      <c r="C1" s="50" t="s">
        <v>150</v>
      </c>
      <c r="D1" s="51"/>
      <c r="E1" s="46" t="s">
        <v>0</v>
      </c>
      <c r="F1" s="47"/>
      <c r="G1" s="48"/>
      <c r="H1" s="48"/>
      <c r="I1" s="48"/>
      <c r="J1" s="48"/>
      <c r="K1" s="48"/>
      <c r="L1" s="48"/>
      <c r="M1" s="48"/>
      <c r="N1" s="49"/>
      <c r="O1" s="49"/>
      <c r="P1" s="49"/>
    </row>
    <row r="2" spans="1:17" ht="70.5" customHeight="1" x14ac:dyDescent="0.2">
      <c r="A2" s="44" t="s">
        <v>1</v>
      </c>
      <c r="B2" s="45" t="s">
        <v>2</v>
      </c>
      <c r="C2" s="5" t="s">
        <v>3</v>
      </c>
      <c r="D2" s="6" t="s">
        <v>4</v>
      </c>
      <c r="E2" s="7" t="s">
        <v>5</v>
      </c>
      <c r="F2" s="41" t="s">
        <v>168</v>
      </c>
      <c r="G2" s="3" t="s">
        <v>162</v>
      </c>
      <c r="H2" s="3" t="s">
        <v>6</v>
      </c>
      <c r="I2" s="10" t="s">
        <v>169</v>
      </c>
      <c r="J2" s="3" t="s">
        <v>7</v>
      </c>
      <c r="K2" s="3" t="s">
        <v>8</v>
      </c>
      <c r="L2" s="10" t="s">
        <v>170</v>
      </c>
      <c r="M2" s="19" t="s">
        <v>154</v>
      </c>
      <c r="N2" s="35" t="s">
        <v>155</v>
      </c>
      <c r="O2" s="35" t="s">
        <v>152</v>
      </c>
      <c r="P2" s="35" t="s">
        <v>151</v>
      </c>
      <c r="Q2" s="27"/>
    </row>
    <row r="3" spans="1:17" ht="15.75" customHeight="1" x14ac:dyDescent="0.2">
      <c r="A3" s="11" t="s">
        <v>108</v>
      </c>
      <c r="B3" s="11" t="s">
        <v>109</v>
      </c>
      <c r="C3" s="14">
        <v>8.8400000000000006E-2</v>
      </c>
      <c r="D3" s="15">
        <v>0.12189999999999999</v>
      </c>
      <c r="E3" s="8" t="s">
        <v>12</v>
      </c>
      <c r="F3" s="42">
        <v>6</v>
      </c>
      <c r="G3" s="4" t="s">
        <v>49</v>
      </c>
      <c r="H3" s="12" t="s">
        <v>105</v>
      </c>
      <c r="I3" s="24">
        <v>6.1</v>
      </c>
      <c r="J3" s="4" t="s">
        <v>15</v>
      </c>
      <c r="K3" s="12" t="s">
        <v>34</v>
      </c>
      <c r="L3" s="24">
        <v>7.1</v>
      </c>
      <c r="M3" s="21" t="s">
        <v>73</v>
      </c>
      <c r="N3" s="36">
        <v>8.5</v>
      </c>
      <c r="O3" s="37">
        <f t="shared" ref="O3:O15" si="0">IFERROR(($N3+$L3)/2,"N/A")</f>
        <v>7.8</v>
      </c>
      <c r="P3" s="38">
        <f>IFERROR($N3-$L3,"N/A")</f>
        <v>1.4000000000000004</v>
      </c>
      <c r="Q3" s="40">
        <f t="shared" ref="Q3:Q15" si="1">IFERROR($P3/$L3,"N/A")</f>
        <v>0.19718309859154937</v>
      </c>
    </row>
    <row r="4" spans="1:17" ht="15.75" customHeight="1" x14ac:dyDescent="0.2">
      <c r="A4" s="11" t="s">
        <v>9</v>
      </c>
      <c r="B4" s="11" t="s">
        <v>10</v>
      </c>
      <c r="C4" s="14">
        <v>7.9399999999999998E-2</v>
      </c>
      <c r="D4" s="15">
        <v>0.1115</v>
      </c>
      <c r="E4" s="8" t="s">
        <v>11</v>
      </c>
      <c r="F4" s="42">
        <v>4.75</v>
      </c>
      <c r="G4" s="4" t="s">
        <v>12</v>
      </c>
      <c r="H4" s="4" t="s">
        <v>13</v>
      </c>
      <c r="I4" s="24">
        <v>5.25</v>
      </c>
      <c r="J4" s="4" t="s">
        <v>14</v>
      </c>
      <c r="K4" s="4" t="s">
        <v>14</v>
      </c>
      <c r="L4" s="24">
        <v>6.25</v>
      </c>
      <c r="M4" s="20" t="s">
        <v>15</v>
      </c>
      <c r="N4" s="36">
        <v>7.25</v>
      </c>
      <c r="O4" s="37">
        <f t="shared" si="0"/>
        <v>6.75</v>
      </c>
      <c r="P4" s="38">
        <f>$N4-$L4</f>
        <v>1</v>
      </c>
      <c r="Q4" s="40">
        <f t="shared" si="1"/>
        <v>0.16</v>
      </c>
    </row>
    <row r="5" spans="1:17" ht="15.75" customHeight="1" x14ac:dyDescent="0.2">
      <c r="A5" s="11" t="s">
        <v>64</v>
      </c>
      <c r="B5" s="11" t="s">
        <v>65</v>
      </c>
      <c r="C5" s="14">
        <v>7.5499999999999998E-2</v>
      </c>
      <c r="D5" s="15">
        <v>0.1087</v>
      </c>
      <c r="E5" s="8" t="s">
        <v>19</v>
      </c>
      <c r="F5" s="42">
        <v>4.5999999999999996</v>
      </c>
      <c r="G5" s="4" t="s">
        <v>19</v>
      </c>
      <c r="H5" s="4" t="s">
        <v>20</v>
      </c>
      <c r="I5" s="24">
        <v>5</v>
      </c>
      <c r="J5" s="4" t="s">
        <v>20</v>
      </c>
      <c r="K5" s="4" t="s">
        <v>21</v>
      </c>
      <c r="L5" s="24">
        <v>5.75</v>
      </c>
      <c r="M5" s="20" t="s">
        <v>21</v>
      </c>
      <c r="N5" s="36">
        <v>5</v>
      </c>
      <c r="O5" s="37">
        <f t="shared" si="0"/>
        <v>5.375</v>
      </c>
      <c r="P5" s="38">
        <f>IFERROR($N5-$L5,"N/A")</f>
        <v>-0.75</v>
      </c>
      <c r="Q5" s="40">
        <f t="shared" si="1"/>
        <v>-0.13043478260869565</v>
      </c>
    </row>
    <row r="6" spans="1:17" ht="15.75" customHeight="1" x14ac:dyDescent="0.2">
      <c r="A6" s="11" t="s">
        <v>16</v>
      </c>
      <c r="B6" s="11" t="s">
        <v>17</v>
      </c>
      <c r="C6" s="14">
        <v>7.9500000000000001E-2</v>
      </c>
      <c r="D6" s="15">
        <v>9.8199999999999996E-2</v>
      </c>
      <c r="E6" s="8" t="s">
        <v>18</v>
      </c>
      <c r="F6" s="42">
        <v>5</v>
      </c>
      <c r="G6" s="4" t="s">
        <v>19</v>
      </c>
      <c r="H6" s="4" t="s">
        <v>20</v>
      </c>
      <c r="I6" s="24">
        <v>5</v>
      </c>
      <c r="J6" s="4" t="s">
        <v>20</v>
      </c>
      <c r="K6" s="31" t="s">
        <v>33</v>
      </c>
      <c r="L6" s="24">
        <v>6.6</v>
      </c>
      <c r="M6" s="33" t="s">
        <v>161</v>
      </c>
      <c r="N6" s="36">
        <v>8.5</v>
      </c>
      <c r="O6" s="37">
        <f t="shared" si="0"/>
        <v>7.55</v>
      </c>
      <c r="P6" s="38">
        <f>$N6-$L6</f>
        <v>1.9000000000000004</v>
      </c>
      <c r="Q6" s="40">
        <f t="shared" si="1"/>
        <v>0.28787878787878796</v>
      </c>
    </row>
    <row r="7" spans="1:17" ht="15.75" customHeight="1" x14ac:dyDescent="0.2">
      <c r="A7" s="11" t="s">
        <v>22</v>
      </c>
      <c r="B7" s="11" t="s">
        <v>23</v>
      </c>
      <c r="C7" s="14">
        <v>7.0699999999999999E-2</v>
      </c>
      <c r="D7" s="15">
        <v>9.1499999999999998E-2</v>
      </c>
      <c r="E7" s="8" t="s">
        <v>24</v>
      </c>
      <c r="F7" s="42">
        <v>4.25</v>
      </c>
      <c r="G7" s="4" t="s">
        <v>25</v>
      </c>
      <c r="H7" s="4" t="s">
        <v>11</v>
      </c>
      <c r="I7" s="24">
        <v>4.75</v>
      </c>
      <c r="J7" s="4" t="s">
        <v>14</v>
      </c>
      <c r="K7" s="12" t="s">
        <v>26</v>
      </c>
      <c r="L7" s="24">
        <v>6</v>
      </c>
      <c r="M7" s="20" t="s">
        <v>27</v>
      </c>
      <c r="N7" s="36">
        <v>6.5</v>
      </c>
      <c r="O7" s="37">
        <f t="shared" si="0"/>
        <v>6.25</v>
      </c>
      <c r="P7" s="38">
        <f>$N7-$L7</f>
        <v>0.5</v>
      </c>
      <c r="Q7" s="40">
        <f t="shared" si="1"/>
        <v>8.3333333333333329E-2</v>
      </c>
    </row>
    <row r="8" spans="1:17" ht="15.75" customHeight="1" x14ac:dyDescent="0.2">
      <c r="A8" s="11" t="s">
        <v>28</v>
      </c>
      <c r="B8" s="11" t="s">
        <v>29</v>
      </c>
      <c r="C8" s="14">
        <v>7.8700000000000006E-2</v>
      </c>
      <c r="D8" s="15">
        <v>0.1067</v>
      </c>
      <c r="E8" s="8" t="s">
        <v>11</v>
      </c>
      <c r="F8" s="42">
        <v>4.75</v>
      </c>
      <c r="G8" s="4" t="s">
        <v>30</v>
      </c>
      <c r="H8" s="4" t="s">
        <v>13</v>
      </c>
      <c r="I8" s="24">
        <v>5.25</v>
      </c>
      <c r="J8" s="4" t="s">
        <v>13</v>
      </c>
      <c r="K8" s="4" t="s">
        <v>25</v>
      </c>
      <c r="L8" s="24">
        <v>5.75</v>
      </c>
      <c r="M8" s="20" t="s">
        <v>25</v>
      </c>
      <c r="N8" s="36">
        <v>5.75</v>
      </c>
      <c r="O8" s="37">
        <f t="shared" si="0"/>
        <v>5.75</v>
      </c>
      <c r="P8" s="38">
        <f t="shared" ref="P8:P15" si="2">IFERROR($N8-$L8,"N/A")</f>
        <v>0</v>
      </c>
      <c r="Q8" s="40">
        <f t="shared" si="1"/>
        <v>0</v>
      </c>
    </row>
    <row r="9" spans="1:17" ht="15.75" customHeight="1" x14ac:dyDescent="0.2">
      <c r="A9" s="11" t="s">
        <v>66</v>
      </c>
      <c r="B9" s="11" t="s">
        <v>67</v>
      </c>
      <c r="C9" s="14">
        <v>7.7100000000000002E-2</v>
      </c>
      <c r="D9" s="15">
        <v>0.1101</v>
      </c>
      <c r="E9" s="8" t="s">
        <v>24</v>
      </c>
      <c r="F9" s="42">
        <v>4.25</v>
      </c>
      <c r="G9" s="4" t="s">
        <v>68</v>
      </c>
      <c r="H9" s="4" t="s">
        <v>20</v>
      </c>
      <c r="I9" s="24">
        <v>5</v>
      </c>
      <c r="J9" s="4" t="s">
        <v>30</v>
      </c>
      <c r="K9" s="4" t="s">
        <v>25</v>
      </c>
      <c r="L9" s="24">
        <v>5.75</v>
      </c>
      <c r="M9" s="20" t="s">
        <v>12</v>
      </c>
      <c r="N9" s="36">
        <v>5</v>
      </c>
      <c r="O9" s="37">
        <f t="shared" si="0"/>
        <v>5.375</v>
      </c>
      <c r="P9" s="38">
        <f t="shared" si="2"/>
        <v>-0.75</v>
      </c>
      <c r="Q9" s="40">
        <f t="shared" si="1"/>
        <v>-0.13043478260869565</v>
      </c>
    </row>
    <row r="10" spans="1:17" ht="15.75" customHeight="1" x14ac:dyDescent="0.2">
      <c r="A10" s="11" t="s">
        <v>69</v>
      </c>
      <c r="B10" s="11" t="s">
        <v>70</v>
      </c>
      <c r="C10" s="14">
        <v>9.0800000000000006E-2</v>
      </c>
      <c r="D10" s="15">
        <v>0.1263</v>
      </c>
      <c r="E10" s="8" t="s">
        <v>13</v>
      </c>
      <c r="F10" s="42">
        <v>5.25</v>
      </c>
      <c r="G10" s="4" t="s">
        <v>71</v>
      </c>
      <c r="H10" s="4" t="s">
        <v>25</v>
      </c>
      <c r="I10" s="24">
        <v>5.75</v>
      </c>
      <c r="J10" s="4" t="s">
        <v>72</v>
      </c>
      <c r="K10" s="4" t="s">
        <v>15</v>
      </c>
      <c r="L10" s="24">
        <v>7.25</v>
      </c>
      <c r="M10" s="20" t="s">
        <v>73</v>
      </c>
      <c r="N10" s="36">
        <v>8.5</v>
      </c>
      <c r="O10" s="37">
        <f t="shared" si="0"/>
        <v>7.875</v>
      </c>
      <c r="P10" s="38">
        <f t="shared" si="2"/>
        <v>1.25</v>
      </c>
      <c r="Q10" s="40">
        <f t="shared" si="1"/>
        <v>0.17241379310344829</v>
      </c>
    </row>
    <row r="11" spans="1:17" ht="15.75" customHeight="1" x14ac:dyDescent="0.2">
      <c r="A11" s="11" t="s">
        <v>74</v>
      </c>
      <c r="B11" s="11" t="s">
        <v>70</v>
      </c>
      <c r="C11" s="14">
        <v>9.1499999999999998E-2</v>
      </c>
      <c r="D11" s="15">
        <v>0.1273</v>
      </c>
      <c r="E11" s="8" t="s">
        <v>49</v>
      </c>
      <c r="F11" s="42">
        <v>6.75</v>
      </c>
      <c r="G11" s="4" t="s">
        <v>75</v>
      </c>
      <c r="H11" s="4" t="s">
        <v>76</v>
      </c>
      <c r="I11" s="24">
        <v>7.6</v>
      </c>
      <c r="J11" s="4" t="s">
        <v>77</v>
      </c>
      <c r="K11" s="12" t="s">
        <v>26</v>
      </c>
      <c r="L11" s="24">
        <v>9.75</v>
      </c>
      <c r="M11" s="21" t="s">
        <v>26</v>
      </c>
      <c r="N11" s="36"/>
      <c r="O11" s="37">
        <f t="shared" si="0"/>
        <v>4.875</v>
      </c>
      <c r="P11" s="38">
        <f t="shared" si="2"/>
        <v>-9.75</v>
      </c>
      <c r="Q11" s="40">
        <f t="shared" si="1"/>
        <v>-1</v>
      </c>
    </row>
    <row r="12" spans="1:17" ht="15.75" customHeight="1" x14ac:dyDescent="0.2">
      <c r="A12" s="11" t="s">
        <v>78</v>
      </c>
      <c r="B12" s="11" t="s">
        <v>70</v>
      </c>
      <c r="C12" s="16">
        <v>9.06E-2</v>
      </c>
      <c r="D12" s="15">
        <v>0.12609999999999999</v>
      </c>
      <c r="E12" s="8" t="s">
        <v>79</v>
      </c>
      <c r="F12" s="42">
        <v>5.5</v>
      </c>
      <c r="G12" s="4" t="s">
        <v>14</v>
      </c>
      <c r="H12" s="4" t="s">
        <v>80</v>
      </c>
      <c r="I12" s="24">
        <v>6.75</v>
      </c>
      <c r="J12" s="4" t="s">
        <v>15</v>
      </c>
      <c r="K12" s="12" t="s">
        <v>81</v>
      </c>
      <c r="L12" s="24">
        <v>8.75</v>
      </c>
      <c r="M12" s="20" t="s">
        <v>82</v>
      </c>
      <c r="N12" s="36">
        <v>9</v>
      </c>
      <c r="O12" s="37">
        <f t="shared" si="0"/>
        <v>8.875</v>
      </c>
      <c r="P12" s="38">
        <f t="shared" si="2"/>
        <v>0.25</v>
      </c>
      <c r="Q12" s="40">
        <f t="shared" si="1"/>
        <v>2.8571428571428571E-2</v>
      </c>
    </row>
    <row r="13" spans="1:17" ht="15.75" customHeight="1" x14ac:dyDescent="0.2">
      <c r="A13" s="11" t="s">
        <v>83</v>
      </c>
      <c r="B13" s="11" t="s">
        <v>65</v>
      </c>
      <c r="C13" s="14">
        <v>8.3599999999999994E-2</v>
      </c>
      <c r="D13" s="15">
        <v>0.1153</v>
      </c>
      <c r="E13" s="8" t="s">
        <v>39</v>
      </c>
      <c r="F13" s="42">
        <v>4.5</v>
      </c>
      <c r="G13" s="4" t="s">
        <v>84</v>
      </c>
      <c r="H13" s="12" t="s">
        <v>79</v>
      </c>
      <c r="I13" s="24">
        <v>6</v>
      </c>
      <c r="J13" s="12" t="s">
        <v>79</v>
      </c>
      <c r="K13" s="12" t="s">
        <v>85</v>
      </c>
      <c r="L13" s="24">
        <v>8</v>
      </c>
      <c r="M13" s="22"/>
      <c r="N13" s="36"/>
      <c r="O13" s="37">
        <f t="shared" si="0"/>
        <v>4</v>
      </c>
      <c r="P13" s="38">
        <f t="shared" si="2"/>
        <v>-8</v>
      </c>
      <c r="Q13" s="40">
        <f t="shared" si="1"/>
        <v>-1</v>
      </c>
    </row>
    <row r="14" spans="1:17" ht="15.75" customHeight="1" x14ac:dyDescent="0.2">
      <c r="A14" s="11" t="s">
        <v>110</v>
      </c>
      <c r="B14" s="11" t="s">
        <v>111</v>
      </c>
      <c r="C14" s="14">
        <v>7.4700000000000003E-2</v>
      </c>
      <c r="D14" s="15">
        <v>0.1031</v>
      </c>
      <c r="E14" s="8" t="s">
        <v>11</v>
      </c>
      <c r="F14" s="42">
        <v>4.75</v>
      </c>
      <c r="G14" s="4" t="s">
        <v>85</v>
      </c>
      <c r="H14" s="4" t="s">
        <v>13</v>
      </c>
      <c r="I14" s="24">
        <v>5.25</v>
      </c>
      <c r="J14" s="12" t="s">
        <v>79</v>
      </c>
      <c r="K14" s="12" t="s">
        <v>85</v>
      </c>
      <c r="L14" s="24">
        <v>6.5</v>
      </c>
      <c r="M14" s="21" t="s">
        <v>85</v>
      </c>
      <c r="N14" s="36">
        <v>6.5</v>
      </c>
      <c r="O14" s="37">
        <f t="shared" si="0"/>
        <v>6.5</v>
      </c>
      <c r="P14" s="38">
        <f t="shared" si="2"/>
        <v>0</v>
      </c>
      <c r="Q14" s="40">
        <f t="shared" si="1"/>
        <v>0</v>
      </c>
    </row>
    <row r="15" spans="1:17" ht="15.75" customHeight="1" x14ac:dyDescent="0.2">
      <c r="A15" s="11" t="s">
        <v>86</v>
      </c>
      <c r="B15" s="11" t="s">
        <v>87</v>
      </c>
      <c r="C15" s="14">
        <v>0.1012</v>
      </c>
      <c r="D15" s="15">
        <v>0.15679999999999999</v>
      </c>
      <c r="E15" s="8" t="s">
        <v>75</v>
      </c>
      <c r="F15" s="42">
        <v>7.5</v>
      </c>
      <c r="G15" s="4" t="s">
        <v>63</v>
      </c>
      <c r="H15" s="4" t="s">
        <v>88</v>
      </c>
      <c r="I15" s="24">
        <v>8</v>
      </c>
      <c r="J15" s="12" t="s">
        <v>73</v>
      </c>
      <c r="K15" s="12" t="s">
        <v>89</v>
      </c>
      <c r="L15" s="24">
        <v>10</v>
      </c>
      <c r="M15" s="21" t="s">
        <v>90</v>
      </c>
      <c r="N15" s="36">
        <v>10</v>
      </c>
      <c r="O15" s="37">
        <f t="shared" si="0"/>
        <v>10</v>
      </c>
      <c r="P15" s="38">
        <f t="shared" si="2"/>
        <v>0</v>
      </c>
      <c r="Q15" s="40">
        <f t="shared" si="1"/>
        <v>0</v>
      </c>
    </row>
    <row r="16" spans="1:17" ht="15.75" customHeight="1" x14ac:dyDescent="0.2">
      <c r="A16" s="11" t="s">
        <v>158</v>
      </c>
      <c r="B16" s="11" t="s">
        <v>159</v>
      </c>
      <c r="C16" s="14"/>
      <c r="D16" s="15"/>
      <c r="E16" s="8"/>
      <c r="F16" s="42" t="s">
        <v>147</v>
      </c>
      <c r="G16" s="4"/>
      <c r="H16" s="31" t="s">
        <v>160</v>
      </c>
      <c r="I16" s="24">
        <v>4.25</v>
      </c>
      <c r="J16" s="12"/>
      <c r="K16" s="12" t="s">
        <v>149</v>
      </c>
      <c r="L16" s="24" t="s">
        <v>147</v>
      </c>
      <c r="M16" s="21"/>
      <c r="N16" s="36"/>
      <c r="O16" s="37"/>
      <c r="P16" s="38"/>
      <c r="Q16" s="40"/>
    </row>
    <row r="17" spans="1:17" ht="15.75" customHeight="1" x14ac:dyDescent="0.2">
      <c r="A17" s="11" t="s">
        <v>91</v>
      </c>
      <c r="B17" s="11" t="s">
        <v>65</v>
      </c>
      <c r="C17" s="14">
        <v>8.1500000000000003E-2</v>
      </c>
      <c r="D17" s="15">
        <v>0.1145</v>
      </c>
      <c r="E17" s="8" t="s">
        <v>11</v>
      </c>
      <c r="F17" s="42">
        <v>4.75</v>
      </c>
      <c r="G17" s="4" t="s">
        <v>39</v>
      </c>
      <c r="H17" s="4" t="s">
        <v>21</v>
      </c>
      <c r="I17" s="24">
        <v>6</v>
      </c>
      <c r="J17" s="4" t="s">
        <v>12</v>
      </c>
      <c r="K17" s="4" t="s">
        <v>14</v>
      </c>
      <c r="L17" s="24">
        <v>8</v>
      </c>
      <c r="M17" s="20" t="s">
        <v>92</v>
      </c>
      <c r="N17" s="36">
        <v>7.6</v>
      </c>
      <c r="O17" s="37">
        <f>IFERROR(($N17+$L17)/2,"N/A")</f>
        <v>7.8</v>
      </c>
      <c r="P17" s="38">
        <f>IFERROR($N17-$L17,"N/A")</f>
        <v>-0.40000000000000036</v>
      </c>
      <c r="Q17" s="40">
        <f>IFERROR($P17/$L17,"N/A")</f>
        <v>-5.0000000000000044E-2</v>
      </c>
    </row>
    <row r="18" spans="1:17" ht="15.75" customHeight="1" x14ac:dyDescent="0.2">
      <c r="A18" s="11" t="s">
        <v>93</v>
      </c>
      <c r="B18" s="11" t="s">
        <v>94</v>
      </c>
      <c r="C18" s="14">
        <v>8.6800000000000002E-2</v>
      </c>
      <c r="D18" s="15">
        <v>0.12180000000000001</v>
      </c>
      <c r="E18" s="8" t="s">
        <v>13</v>
      </c>
      <c r="F18" s="42">
        <v>5.25</v>
      </c>
      <c r="G18" s="4" t="s">
        <v>12</v>
      </c>
      <c r="H18" s="4" t="s">
        <v>25</v>
      </c>
      <c r="I18" s="24">
        <v>5.75</v>
      </c>
      <c r="J18" s="4" t="s">
        <v>33</v>
      </c>
      <c r="K18" s="12" t="s">
        <v>34</v>
      </c>
      <c r="L18" s="24">
        <v>7.1</v>
      </c>
      <c r="M18" s="21" t="s">
        <v>35</v>
      </c>
      <c r="N18" s="36">
        <v>9</v>
      </c>
      <c r="O18" s="37">
        <f>IFERROR(($N18+$L18)/2,"N/A")</f>
        <v>8.0500000000000007</v>
      </c>
      <c r="P18" s="38">
        <f>IFERROR($N18-$L18,"N/A")</f>
        <v>1.9000000000000004</v>
      </c>
      <c r="Q18" s="40">
        <f>IFERROR($P18/$L18,"N/A")</f>
        <v>0.26760563380281699</v>
      </c>
    </row>
    <row r="19" spans="1:17" ht="15.75" customHeight="1" x14ac:dyDescent="0.2">
      <c r="A19" s="11" t="s">
        <v>157</v>
      </c>
      <c r="B19" s="11" t="s">
        <v>116</v>
      </c>
      <c r="C19" s="14"/>
      <c r="D19" s="15"/>
      <c r="E19" s="34" t="s">
        <v>20</v>
      </c>
      <c r="F19" s="43">
        <v>5</v>
      </c>
      <c r="G19" s="31" t="s">
        <v>13</v>
      </c>
      <c r="H19" s="31" t="s">
        <v>13</v>
      </c>
      <c r="I19" s="32">
        <v>5.25</v>
      </c>
      <c r="J19" s="31" t="s">
        <v>163</v>
      </c>
      <c r="K19" s="31" t="s">
        <v>165</v>
      </c>
      <c r="L19" s="24">
        <v>6.25</v>
      </c>
      <c r="M19" s="21"/>
      <c r="N19" s="36"/>
      <c r="O19" s="37"/>
      <c r="P19" s="38"/>
      <c r="Q19" s="40"/>
    </row>
    <row r="20" spans="1:17" ht="15.75" customHeight="1" x14ac:dyDescent="0.2">
      <c r="A20" s="11" t="s">
        <v>31</v>
      </c>
      <c r="B20" s="11" t="s">
        <v>32</v>
      </c>
      <c r="C20" s="14">
        <v>8.6599999999999996E-2</v>
      </c>
      <c r="D20" s="15">
        <v>0.12570000000000001</v>
      </c>
      <c r="E20" s="8" t="s">
        <v>19</v>
      </c>
      <c r="F20" s="42">
        <v>4.5999999999999996</v>
      </c>
      <c r="G20" s="31" t="s">
        <v>164</v>
      </c>
      <c r="H20" s="31" t="s">
        <v>46</v>
      </c>
      <c r="I20" s="24">
        <v>5.5</v>
      </c>
      <c r="J20" s="31" t="s">
        <v>166</v>
      </c>
      <c r="K20" s="31" t="s">
        <v>166</v>
      </c>
      <c r="L20" s="24">
        <v>7</v>
      </c>
      <c r="M20" s="33" t="s">
        <v>167</v>
      </c>
      <c r="N20" s="36">
        <v>8.75</v>
      </c>
      <c r="O20" s="37">
        <f t="shared" ref="O20:O50" si="3">IFERROR(($N20+$L20)/2,"N/A")</f>
        <v>7.875</v>
      </c>
      <c r="P20" s="38">
        <f t="shared" ref="P20:P50" si="4">IFERROR($N20-$L20,"N/A")</f>
        <v>1.75</v>
      </c>
      <c r="Q20" s="40">
        <f t="shared" ref="Q20:Q50" si="5">IFERROR($P20/$L20,"N/A")</f>
        <v>0.25</v>
      </c>
    </row>
    <row r="21" spans="1:17" ht="15.75" customHeight="1" x14ac:dyDescent="0.2">
      <c r="A21" s="11" t="s">
        <v>95</v>
      </c>
      <c r="B21" s="11" t="s">
        <v>96</v>
      </c>
      <c r="C21" s="14">
        <v>7.7899999999999997E-2</v>
      </c>
      <c r="D21" s="15">
        <v>0.1084</v>
      </c>
      <c r="E21" s="8" t="s">
        <v>18</v>
      </c>
      <c r="F21" s="42">
        <v>5</v>
      </c>
      <c r="G21" s="4" t="s">
        <v>25</v>
      </c>
      <c r="H21" s="4" t="s">
        <v>13</v>
      </c>
      <c r="I21" s="24">
        <v>5.25</v>
      </c>
      <c r="J21" s="12" t="s">
        <v>12</v>
      </c>
      <c r="K21" s="4" t="s">
        <v>14</v>
      </c>
      <c r="L21" s="24">
        <v>6.25</v>
      </c>
      <c r="M21" s="20" t="s">
        <v>15</v>
      </c>
      <c r="N21" s="36">
        <v>7.25</v>
      </c>
      <c r="O21" s="37">
        <f t="shared" si="3"/>
        <v>6.75</v>
      </c>
      <c r="P21" s="38">
        <f t="shared" si="4"/>
        <v>1</v>
      </c>
      <c r="Q21" s="40">
        <f t="shared" si="5"/>
        <v>0.16</v>
      </c>
    </row>
    <row r="22" spans="1:17" ht="15.75" customHeight="1" x14ac:dyDescent="0.2">
      <c r="A22" s="11" t="s">
        <v>112</v>
      </c>
      <c r="B22" s="11" t="s">
        <v>113</v>
      </c>
      <c r="C22" s="14">
        <v>8.1900000000000001E-2</v>
      </c>
      <c r="D22" s="15">
        <v>0.1021</v>
      </c>
      <c r="E22" s="8" t="s">
        <v>30</v>
      </c>
      <c r="F22" s="42">
        <v>5.25</v>
      </c>
      <c r="G22" s="4" t="s">
        <v>58</v>
      </c>
      <c r="H22" s="4" t="s">
        <v>21</v>
      </c>
      <c r="I22" s="24">
        <v>5.5</v>
      </c>
      <c r="J22" s="4" t="s">
        <v>25</v>
      </c>
      <c r="K22" s="12" t="s">
        <v>33</v>
      </c>
      <c r="L22" s="24">
        <v>6.6</v>
      </c>
      <c r="M22" s="21" t="s">
        <v>114</v>
      </c>
      <c r="N22" s="36">
        <v>6.6</v>
      </c>
      <c r="O22" s="37">
        <f t="shared" si="3"/>
        <v>6.6</v>
      </c>
      <c r="P22" s="38">
        <f t="shared" si="4"/>
        <v>0</v>
      </c>
      <c r="Q22" s="40">
        <f t="shared" si="5"/>
        <v>0</v>
      </c>
    </row>
    <row r="23" spans="1:17" ht="15.75" customHeight="1" x14ac:dyDescent="0.2">
      <c r="A23" s="11" t="s">
        <v>115</v>
      </c>
      <c r="B23" s="11" t="s">
        <v>116</v>
      </c>
      <c r="C23" s="14">
        <v>6.59E-2</v>
      </c>
      <c r="D23" s="15">
        <v>9.0899999999999995E-2</v>
      </c>
      <c r="E23" s="8" t="s">
        <v>117</v>
      </c>
      <c r="F23" s="42">
        <v>4</v>
      </c>
      <c r="G23" s="4" t="s">
        <v>24</v>
      </c>
      <c r="H23" s="4" t="s">
        <v>68</v>
      </c>
      <c r="I23" s="24">
        <v>4.3499999999999996</v>
      </c>
      <c r="J23" s="4" t="s">
        <v>11</v>
      </c>
      <c r="K23" s="12" t="s">
        <v>26</v>
      </c>
      <c r="L23" s="25">
        <v>5.75</v>
      </c>
      <c r="M23" s="21" t="s">
        <v>26</v>
      </c>
      <c r="N23" s="39" t="s">
        <v>147</v>
      </c>
      <c r="O23" s="37" t="str">
        <f t="shared" si="3"/>
        <v>N/A</v>
      </c>
      <c r="P23" s="38" t="str">
        <f t="shared" si="4"/>
        <v>N/A</v>
      </c>
      <c r="Q23" s="40" t="str">
        <f t="shared" si="5"/>
        <v>N/A</v>
      </c>
    </row>
    <row r="24" spans="1:17" ht="15.75" customHeight="1" x14ac:dyDescent="0.2">
      <c r="A24" s="11" t="s">
        <v>36</v>
      </c>
      <c r="B24" s="11" t="s">
        <v>37</v>
      </c>
      <c r="C24" s="14">
        <v>9.2499999999999999E-2</v>
      </c>
      <c r="D24" s="15">
        <v>0.12870000000000001</v>
      </c>
      <c r="E24" s="8" t="s">
        <v>26</v>
      </c>
      <c r="F24" s="42" t="s">
        <v>147</v>
      </c>
      <c r="G24" s="4" t="s">
        <v>26</v>
      </c>
      <c r="H24" s="13" t="s">
        <v>26</v>
      </c>
      <c r="I24" s="24" t="s">
        <v>147</v>
      </c>
      <c r="J24" s="12" t="s">
        <v>26</v>
      </c>
      <c r="K24" s="12" t="s">
        <v>26</v>
      </c>
      <c r="L24" s="24" t="s">
        <v>147</v>
      </c>
      <c r="M24" s="21" t="s">
        <v>26</v>
      </c>
      <c r="N24" s="28" t="s">
        <v>147</v>
      </c>
      <c r="O24" s="37" t="str">
        <f t="shared" si="3"/>
        <v>N/A</v>
      </c>
      <c r="P24" s="38" t="str">
        <f t="shared" si="4"/>
        <v>N/A</v>
      </c>
      <c r="Q24" s="40" t="str">
        <f t="shared" si="5"/>
        <v>N/A</v>
      </c>
    </row>
    <row r="25" spans="1:17" ht="15.75" customHeight="1" x14ac:dyDescent="0.2">
      <c r="A25" s="11" t="s">
        <v>38</v>
      </c>
      <c r="B25" s="11" t="s">
        <v>32</v>
      </c>
      <c r="C25" s="16">
        <v>7.0300000000000001E-2</v>
      </c>
      <c r="D25" s="15">
        <v>0.1004</v>
      </c>
      <c r="E25" s="8" t="s">
        <v>24</v>
      </c>
      <c r="F25" s="42">
        <v>4</v>
      </c>
      <c r="G25" s="4" t="s">
        <v>20</v>
      </c>
      <c r="H25" s="4" t="s">
        <v>39</v>
      </c>
      <c r="I25" s="24">
        <v>4.5</v>
      </c>
      <c r="J25" s="4" t="s">
        <v>13</v>
      </c>
      <c r="K25" s="12" t="s">
        <v>40</v>
      </c>
      <c r="L25" s="24">
        <v>5.85</v>
      </c>
      <c r="M25" s="21" t="s">
        <v>33</v>
      </c>
      <c r="N25" s="36">
        <v>6.6</v>
      </c>
      <c r="O25" s="37">
        <f t="shared" si="3"/>
        <v>6.2249999999999996</v>
      </c>
      <c r="P25" s="38">
        <f t="shared" si="4"/>
        <v>0.75</v>
      </c>
      <c r="Q25" s="40">
        <f t="shared" si="5"/>
        <v>0.12820512820512822</v>
      </c>
    </row>
    <row r="26" spans="1:17" ht="15.75" customHeight="1" x14ac:dyDescent="0.2">
      <c r="A26" s="11" t="s">
        <v>97</v>
      </c>
      <c r="B26" s="11" t="s">
        <v>98</v>
      </c>
      <c r="C26" s="14">
        <v>8.4199999999999997E-2</v>
      </c>
      <c r="D26" s="15">
        <v>0.1162</v>
      </c>
      <c r="E26" s="8" t="s">
        <v>39</v>
      </c>
      <c r="F26" s="42">
        <v>4.5999999999999996</v>
      </c>
      <c r="G26" s="4" t="s">
        <v>20</v>
      </c>
      <c r="H26" s="4" t="s">
        <v>20</v>
      </c>
      <c r="I26" s="24">
        <v>5</v>
      </c>
      <c r="J26" s="4" t="s">
        <v>21</v>
      </c>
      <c r="K26" s="4" t="s">
        <v>13</v>
      </c>
      <c r="L26" s="24">
        <v>5.25</v>
      </c>
      <c r="M26" s="20" t="s">
        <v>12</v>
      </c>
      <c r="N26" s="36">
        <v>6</v>
      </c>
      <c r="O26" s="37">
        <f t="shared" si="3"/>
        <v>5.625</v>
      </c>
      <c r="P26" s="38">
        <f t="shared" si="4"/>
        <v>0.75</v>
      </c>
      <c r="Q26" s="40">
        <f t="shared" si="5"/>
        <v>0.14285714285714285</v>
      </c>
    </row>
    <row r="27" spans="1:17" ht="15.75" customHeight="1" x14ac:dyDescent="0.2">
      <c r="A27" s="11" t="s">
        <v>41</v>
      </c>
      <c r="B27" s="11" t="s">
        <v>37</v>
      </c>
      <c r="C27" s="14">
        <v>8.3099999999999993E-2</v>
      </c>
      <c r="D27" s="15">
        <v>0.1166</v>
      </c>
      <c r="E27" s="8" t="s">
        <v>11</v>
      </c>
      <c r="F27" s="42">
        <v>4.75</v>
      </c>
      <c r="G27" s="4" t="s">
        <v>25</v>
      </c>
      <c r="H27" s="4" t="s">
        <v>21</v>
      </c>
      <c r="I27" s="24">
        <v>5.5</v>
      </c>
      <c r="J27" s="4" t="s">
        <v>12</v>
      </c>
      <c r="K27" s="4" t="s">
        <v>14</v>
      </c>
      <c r="L27" s="24">
        <v>6.25</v>
      </c>
      <c r="M27" s="20" t="s">
        <v>42</v>
      </c>
      <c r="N27" s="36">
        <v>7</v>
      </c>
      <c r="O27" s="37">
        <f t="shared" si="3"/>
        <v>6.625</v>
      </c>
      <c r="P27" s="38">
        <f t="shared" si="4"/>
        <v>0.75</v>
      </c>
      <c r="Q27" s="40">
        <f t="shared" si="5"/>
        <v>0.12</v>
      </c>
    </row>
    <row r="28" spans="1:17" ht="12.75" x14ac:dyDescent="0.2">
      <c r="A28" s="11" t="s">
        <v>156</v>
      </c>
      <c r="B28" s="11" t="s">
        <v>136</v>
      </c>
      <c r="C28" s="17"/>
      <c r="D28" s="18"/>
      <c r="E28" s="8" t="s">
        <v>24</v>
      </c>
      <c r="F28" s="42">
        <v>4.25</v>
      </c>
      <c r="G28" s="4" t="s">
        <v>13</v>
      </c>
      <c r="H28" s="4" t="s">
        <v>11</v>
      </c>
      <c r="I28" s="24">
        <v>4.75</v>
      </c>
      <c r="J28" s="4" t="s">
        <v>25</v>
      </c>
      <c r="K28" s="12" t="s">
        <v>26</v>
      </c>
      <c r="L28" s="25" t="s">
        <v>147</v>
      </c>
      <c r="M28" s="21" t="s">
        <v>26</v>
      </c>
      <c r="N28" s="39" t="s">
        <v>147</v>
      </c>
      <c r="O28" s="37" t="str">
        <f t="shared" si="3"/>
        <v>N/A</v>
      </c>
      <c r="P28" s="38" t="str">
        <f t="shared" si="4"/>
        <v>N/A</v>
      </c>
      <c r="Q28" s="40" t="str">
        <f t="shared" si="5"/>
        <v>N/A</v>
      </c>
    </row>
    <row r="29" spans="1:17" ht="12.75" x14ac:dyDescent="0.2">
      <c r="A29" s="11" t="s">
        <v>43</v>
      </c>
      <c r="B29" s="11" t="s">
        <v>44</v>
      </c>
      <c r="C29" s="14">
        <v>5.7500000000000002E-2</v>
      </c>
      <c r="D29" s="15">
        <v>7.1199999999999999E-2</v>
      </c>
      <c r="E29" s="8" t="s">
        <v>45</v>
      </c>
      <c r="F29" s="42">
        <v>4</v>
      </c>
      <c r="G29" s="4" t="s">
        <v>46</v>
      </c>
      <c r="H29" s="4" t="s">
        <v>19</v>
      </c>
      <c r="I29" s="24">
        <v>4.5999999999999996</v>
      </c>
      <c r="J29" s="4" t="s">
        <v>47</v>
      </c>
      <c r="K29" s="4" t="s">
        <v>21</v>
      </c>
      <c r="L29" s="24">
        <v>5.5</v>
      </c>
      <c r="M29" s="20" t="s">
        <v>33</v>
      </c>
      <c r="N29" s="36">
        <v>6.6</v>
      </c>
      <c r="O29" s="37">
        <f t="shared" si="3"/>
        <v>6.05</v>
      </c>
      <c r="P29" s="38">
        <f t="shared" si="4"/>
        <v>1.0999999999999996</v>
      </c>
      <c r="Q29" s="40">
        <f t="shared" si="5"/>
        <v>0.19999999999999993</v>
      </c>
    </row>
    <row r="30" spans="1:17" ht="12.75" x14ac:dyDescent="0.2">
      <c r="A30" s="11" t="s">
        <v>99</v>
      </c>
      <c r="B30" s="11" t="s">
        <v>100</v>
      </c>
      <c r="C30" s="14">
        <v>7.3899999999999993E-2</v>
      </c>
      <c r="D30" s="15">
        <v>0.1002</v>
      </c>
      <c r="E30" s="8" t="s">
        <v>21</v>
      </c>
      <c r="F30" s="42">
        <v>5.25</v>
      </c>
      <c r="G30" s="4" t="s">
        <v>101</v>
      </c>
      <c r="H30" s="4" t="s">
        <v>12</v>
      </c>
      <c r="I30" s="24">
        <v>6.25</v>
      </c>
      <c r="J30" s="12" t="s">
        <v>102</v>
      </c>
      <c r="K30" s="12" t="s">
        <v>75</v>
      </c>
      <c r="L30" s="24">
        <v>8</v>
      </c>
      <c r="M30" s="20" t="s">
        <v>103</v>
      </c>
      <c r="N30" s="36">
        <v>8.25</v>
      </c>
      <c r="O30" s="37">
        <f t="shared" si="3"/>
        <v>8.125</v>
      </c>
      <c r="P30" s="38">
        <f t="shared" si="4"/>
        <v>0.25</v>
      </c>
      <c r="Q30" s="40">
        <f t="shared" si="5"/>
        <v>3.125E-2</v>
      </c>
    </row>
    <row r="31" spans="1:17" ht="12.75" x14ac:dyDescent="0.2">
      <c r="A31" s="11" t="s">
        <v>118</v>
      </c>
      <c r="B31" s="11" t="s">
        <v>116</v>
      </c>
      <c r="C31" s="14">
        <v>6.9500000000000006E-2</v>
      </c>
      <c r="D31" s="15">
        <v>9.6699999999999994E-2</v>
      </c>
      <c r="E31" s="8" t="s">
        <v>119</v>
      </c>
      <c r="F31" s="42">
        <v>3.9</v>
      </c>
      <c r="G31" s="4" t="s">
        <v>26</v>
      </c>
      <c r="H31" s="12" t="s">
        <v>120</v>
      </c>
      <c r="I31" s="24">
        <v>4.5999999999999996</v>
      </c>
      <c r="J31" s="12" t="s">
        <v>26</v>
      </c>
      <c r="K31" s="4" t="s">
        <v>13</v>
      </c>
      <c r="L31" s="24">
        <v>5.25</v>
      </c>
      <c r="M31" s="21" t="s">
        <v>26</v>
      </c>
      <c r="N31" s="36"/>
      <c r="O31" s="37">
        <f t="shared" si="3"/>
        <v>2.625</v>
      </c>
      <c r="P31" s="38">
        <f t="shared" si="4"/>
        <v>-5.25</v>
      </c>
      <c r="Q31" s="40">
        <f t="shared" si="5"/>
        <v>-1</v>
      </c>
    </row>
    <row r="32" spans="1:17" ht="12.75" x14ac:dyDescent="0.2">
      <c r="A32" s="11" t="s">
        <v>48</v>
      </c>
      <c r="B32" s="11" t="s">
        <v>32</v>
      </c>
      <c r="C32" s="14">
        <v>8.3699999999999997E-2</v>
      </c>
      <c r="D32" s="15">
        <v>0.1215</v>
      </c>
      <c r="E32" s="8" t="s">
        <v>11</v>
      </c>
      <c r="F32" s="42">
        <v>4.75</v>
      </c>
      <c r="G32" s="4" t="s">
        <v>21</v>
      </c>
      <c r="H32" s="4" t="s">
        <v>21</v>
      </c>
      <c r="I32" s="24">
        <v>5.5</v>
      </c>
      <c r="J32" s="4" t="s">
        <v>12</v>
      </c>
      <c r="K32" s="4" t="s">
        <v>14</v>
      </c>
      <c r="L32" s="24">
        <v>6.5</v>
      </c>
      <c r="M32" s="20" t="s">
        <v>49</v>
      </c>
      <c r="N32" s="36">
        <v>6.75</v>
      </c>
      <c r="O32" s="37">
        <f t="shared" si="3"/>
        <v>6.625</v>
      </c>
      <c r="P32" s="38">
        <f t="shared" si="4"/>
        <v>0.25</v>
      </c>
      <c r="Q32" s="40">
        <f t="shared" si="5"/>
        <v>3.8461538461538464E-2</v>
      </c>
    </row>
    <row r="33" spans="1:17" ht="12.75" x14ac:dyDescent="0.2">
      <c r="A33" s="11" t="s">
        <v>50</v>
      </c>
      <c r="B33" s="11" t="s">
        <v>51</v>
      </c>
      <c r="C33" s="14">
        <v>8.1100000000000005E-2</v>
      </c>
      <c r="D33" s="15">
        <v>0.1168</v>
      </c>
      <c r="E33" s="8" t="s">
        <v>11</v>
      </c>
      <c r="F33" s="42">
        <v>4.75</v>
      </c>
      <c r="G33" s="4" t="s">
        <v>49</v>
      </c>
      <c r="H33" s="4" t="s">
        <v>25</v>
      </c>
      <c r="I33" s="24">
        <v>5.75</v>
      </c>
      <c r="J33" s="4" t="s">
        <v>52</v>
      </c>
      <c r="K33" s="4" t="s">
        <v>53</v>
      </c>
      <c r="L33" s="24">
        <v>6.75</v>
      </c>
      <c r="M33" s="20" t="s">
        <v>54</v>
      </c>
      <c r="N33" s="36">
        <v>7.75</v>
      </c>
      <c r="O33" s="37">
        <f t="shared" si="3"/>
        <v>7.25</v>
      </c>
      <c r="P33" s="38">
        <f t="shared" si="4"/>
        <v>1</v>
      </c>
      <c r="Q33" s="40">
        <f t="shared" si="5"/>
        <v>0.14814814814814814</v>
      </c>
    </row>
    <row r="34" spans="1:17" ht="12.75" x14ac:dyDescent="0.2">
      <c r="A34" s="11" t="s">
        <v>121</v>
      </c>
      <c r="B34" s="11" t="s">
        <v>122</v>
      </c>
      <c r="C34" s="14">
        <v>7.4700000000000003E-2</v>
      </c>
      <c r="D34" s="15">
        <v>0.1022</v>
      </c>
      <c r="E34" s="8" t="s">
        <v>20</v>
      </c>
      <c r="F34" s="42">
        <v>5</v>
      </c>
      <c r="G34" s="4" t="s">
        <v>14</v>
      </c>
      <c r="H34" s="4" t="s">
        <v>21</v>
      </c>
      <c r="I34" s="24">
        <v>5.5</v>
      </c>
      <c r="J34" s="4" t="s">
        <v>49</v>
      </c>
      <c r="K34" s="4" t="s">
        <v>14</v>
      </c>
      <c r="L34" s="24">
        <v>6.25</v>
      </c>
      <c r="M34" s="20" t="s">
        <v>101</v>
      </c>
      <c r="N34" s="36">
        <v>7.5</v>
      </c>
      <c r="O34" s="37">
        <f t="shared" si="3"/>
        <v>6.875</v>
      </c>
      <c r="P34" s="38">
        <f t="shared" si="4"/>
        <v>1.25</v>
      </c>
      <c r="Q34" s="40">
        <f t="shared" si="5"/>
        <v>0.2</v>
      </c>
    </row>
    <row r="35" spans="1:17" ht="15.75" customHeight="1" x14ac:dyDescent="0.2">
      <c r="A35" s="11" t="s">
        <v>55</v>
      </c>
      <c r="B35" s="11" t="s">
        <v>51</v>
      </c>
      <c r="C35" s="14">
        <v>8.9200000000000002E-2</v>
      </c>
      <c r="D35" s="15">
        <v>0.1295</v>
      </c>
      <c r="E35" s="8" t="s">
        <v>14</v>
      </c>
      <c r="F35" s="42">
        <v>6.25</v>
      </c>
      <c r="G35" s="4" t="s">
        <v>49</v>
      </c>
      <c r="H35" s="4" t="s">
        <v>49</v>
      </c>
      <c r="I35" s="24">
        <v>6.75</v>
      </c>
      <c r="J35" s="4" t="s">
        <v>15</v>
      </c>
      <c r="K35" s="4" t="s">
        <v>54</v>
      </c>
      <c r="L35" s="24">
        <v>7.75</v>
      </c>
      <c r="M35" s="20" t="s">
        <v>56</v>
      </c>
      <c r="N35" s="36">
        <v>8.75</v>
      </c>
      <c r="O35" s="37">
        <f t="shared" si="3"/>
        <v>8.25</v>
      </c>
      <c r="P35" s="38">
        <f t="shared" si="4"/>
        <v>1</v>
      </c>
      <c r="Q35" s="40">
        <f t="shared" si="5"/>
        <v>0.12903225806451613</v>
      </c>
    </row>
    <row r="36" spans="1:17" ht="12.75" x14ac:dyDescent="0.2">
      <c r="A36" s="11" t="s">
        <v>123</v>
      </c>
      <c r="B36" s="11" t="s">
        <v>124</v>
      </c>
      <c r="C36" s="14">
        <v>7.9100000000000004E-2</v>
      </c>
      <c r="D36" s="15">
        <v>0.10920000000000001</v>
      </c>
      <c r="E36" s="8" t="s">
        <v>24</v>
      </c>
      <c r="F36" s="42">
        <v>4.25</v>
      </c>
      <c r="G36" s="4" t="s">
        <v>24</v>
      </c>
      <c r="H36" s="4" t="s">
        <v>11</v>
      </c>
      <c r="I36" s="24">
        <v>4.75</v>
      </c>
      <c r="J36" s="4" t="s">
        <v>125</v>
      </c>
      <c r="K36" s="4" t="s">
        <v>13</v>
      </c>
      <c r="L36" s="24">
        <v>5.25</v>
      </c>
      <c r="M36" s="20" t="s">
        <v>20</v>
      </c>
      <c r="N36" s="36">
        <v>5</v>
      </c>
      <c r="O36" s="37">
        <f t="shared" si="3"/>
        <v>5.125</v>
      </c>
      <c r="P36" s="38">
        <f t="shared" si="4"/>
        <v>-0.25</v>
      </c>
      <c r="Q36" s="40">
        <f t="shared" si="5"/>
        <v>-4.7619047619047616E-2</v>
      </c>
    </row>
    <row r="37" spans="1:17" ht="12.75" x14ac:dyDescent="0.2">
      <c r="A37" s="11" t="s">
        <v>57</v>
      </c>
      <c r="B37" s="11" t="s">
        <v>29</v>
      </c>
      <c r="C37" s="14">
        <v>8.5199999999999998E-2</v>
      </c>
      <c r="D37" s="15">
        <v>0.1236</v>
      </c>
      <c r="E37" s="8" t="s">
        <v>11</v>
      </c>
      <c r="F37" s="42">
        <v>4.5</v>
      </c>
      <c r="G37" s="4" t="s">
        <v>20</v>
      </c>
      <c r="H37" s="4" t="s">
        <v>30</v>
      </c>
      <c r="I37" s="24">
        <v>5.25</v>
      </c>
      <c r="J37" s="4" t="s">
        <v>58</v>
      </c>
      <c r="K37" s="4" t="s">
        <v>14</v>
      </c>
      <c r="L37" s="24">
        <v>6.5</v>
      </c>
      <c r="M37" s="20" t="s">
        <v>49</v>
      </c>
      <c r="N37" s="36">
        <v>6.75</v>
      </c>
      <c r="O37" s="37">
        <f t="shared" si="3"/>
        <v>6.625</v>
      </c>
      <c r="P37" s="38">
        <f t="shared" si="4"/>
        <v>0.25</v>
      </c>
      <c r="Q37" s="40">
        <f t="shared" si="5"/>
        <v>3.8461538461538464E-2</v>
      </c>
    </row>
    <row r="38" spans="1:17" ht="12.75" x14ac:dyDescent="0.2">
      <c r="A38" s="11" t="s">
        <v>140</v>
      </c>
      <c r="B38" s="11" t="s">
        <v>141</v>
      </c>
      <c r="C38" s="17"/>
      <c r="D38" s="18"/>
      <c r="E38" s="8" t="s">
        <v>40</v>
      </c>
      <c r="F38" s="42">
        <v>5.6</v>
      </c>
      <c r="G38" s="4" t="s">
        <v>85</v>
      </c>
      <c r="H38" s="12" t="s">
        <v>142</v>
      </c>
      <c r="I38" s="24">
        <v>6.35</v>
      </c>
      <c r="J38" s="12" t="s">
        <v>72</v>
      </c>
      <c r="K38" s="12" t="s">
        <v>143</v>
      </c>
      <c r="L38" s="24">
        <v>7.4</v>
      </c>
      <c r="M38" s="21" t="s">
        <v>144</v>
      </c>
      <c r="N38" s="36">
        <v>8.25</v>
      </c>
      <c r="O38" s="37">
        <f t="shared" si="3"/>
        <v>7.8250000000000002</v>
      </c>
      <c r="P38" s="38">
        <f t="shared" si="4"/>
        <v>0.84999999999999964</v>
      </c>
      <c r="Q38" s="40">
        <f t="shared" si="5"/>
        <v>0.11486486486486482</v>
      </c>
    </row>
    <row r="39" spans="1:17" ht="12.75" x14ac:dyDescent="0.2">
      <c r="A39" s="11" t="s">
        <v>138</v>
      </c>
      <c r="B39" s="11" t="s">
        <v>116</v>
      </c>
      <c r="C39" s="17"/>
      <c r="D39" s="18"/>
      <c r="E39" s="8" t="s">
        <v>20</v>
      </c>
      <c r="F39" s="42">
        <v>4.75</v>
      </c>
      <c r="G39" s="4" t="s">
        <v>13</v>
      </c>
      <c r="H39" s="4" t="s">
        <v>13</v>
      </c>
      <c r="I39" s="24">
        <v>5.25</v>
      </c>
      <c r="J39" s="4" t="s">
        <v>139</v>
      </c>
      <c r="K39" s="12" t="s">
        <v>26</v>
      </c>
      <c r="L39" s="25" t="s">
        <v>147</v>
      </c>
      <c r="M39" s="21" t="s">
        <v>26</v>
      </c>
      <c r="N39" s="39" t="s">
        <v>147</v>
      </c>
      <c r="O39" s="37" t="str">
        <f t="shared" si="3"/>
        <v>N/A</v>
      </c>
      <c r="P39" s="38" t="str">
        <f t="shared" si="4"/>
        <v>N/A</v>
      </c>
      <c r="Q39" s="40" t="str">
        <f t="shared" si="5"/>
        <v>N/A</v>
      </c>
    </row>
    <row r="40" spans="1:17" ht="12.75" x14ac:dyDescent="0.2">
      <c r="A40" s="11" t="s">
        <v>131</v>
      </c>
      <c r="B40" s="11" t="s">
        <v>116</v>
      </c>
      <c r="C40" s="14">
        <v>8.4400000000000003E-2</v>
      </c>
      <c r="D40" s="15">
        <v>0.1113</v>
      </c>
      <c r="E40" s="8" t="s">
        <v>19</v>
      </c>
      <c r="F40" s="42">
        <v>4.5999999999999996</v>
      </c>
      <c r="G40" s="4" t="s">
        <v>26</v>
      </c>
      <c r="H40" s="4" t="s">
        <v>20</v>
      </c>
      <c r="I40" s="24">
        <v>5.25</v>
      </c>
      <c r="J40" s="4" t="s">
        <v>13</v>
      </c>
      <c r="K40" s="4" t="s">
        <v>21</v>
      </c>
      <c r="L40" s="24">
        <v>6.25</v>
      </c>
      <c r="M40" s="20" t="s">
        <v>12</v>
      </c>
      <c r="N40" s="36">
        <v>6</v>
      </c>
      <c r="O40" s="37">
        <f t="shared" si="3"/>
        <v>6.125</v>
      </c>
      <c r="P40" s="38">
        <f t="shared" si="4"/>
        <v>-0.25</v>
      </c>
      <c r="Q40" s="40">
        <f t="shared" si="5"/>
        <v>-0.04</v>
      </c>
    </row>
    <row r="41" spans="1:17" ht="12.75" x14ac:dyDescent="0.2">
      <c r="A41" s="11" t="s">
        <v>126</v>
      </c>
      <c r="B41" s="11" t="s">
        <v>127</v>
      </c>
      <c r="C41" s="14">
        <v>8.0299999999999996E-2</v>
      </c>
      <c r="D41" s="15">
        <v>0.10979999999999999</v>
      </c>
      <c r="E41" s="8" t="s">
        <v>13</v>
      </c>
      <c r="F41" s="42">
        <v>5.25</v>
      </c>
      <c r="G41" s="4" t="s">
        <v>107</v>
      </c>
      <c r="H41" s="4" t="s">
        <v>21</v>
      </c>
      <c r="I41" s="24">
        <v>5.5</v>
      </c>
      <c r="J41" s="4" t="s">
        <v>12</v>
      </c>
      <c r="K41" s="4" t="s">
        <v>14</v>
      </c>
      <c r="L41" s="24">
        <v>6.25</v>
      </c>
      <c r="M41" s="20" t="s">
        <v>14</v>
      </c>
      <c r="N41" s="36">
        <v>6.25</v>
      </c>
      <c r="O41" s="37">
        <f t="shared" si="3"/>
        <v>6.25</v>
      </c>
      <c r="P41" s="38">
        <f t="shared" si="4"/>
        <v>0</v>
      </c>
      <c r="Q41" s="40">
        <f t="shared" si="5"/>
        <v>0</v>
      </c>
    </row>
    <row r="42" spans="1:17" ht="12.75" x14ac:dyDescent="0.2">
      <c r="A42" s="11" t="s">
        <v>104</v>
      </c>
      <c r="B42" s="11" t="s">
        <v>65</v>
      </c>
      <c r="C42" s="14">
        <v>8.5999999999999993E-2</v>
      </c>
      <c r="D42" s="15">
        <v>0.1196</v>
      </c>
      <c r="E42" s="8" t="s">
        <v>46</v>
      </c>
      <c r="F42" s="42">
        <v>5</v>
      </c>
      <c r="G42" s="4" t="s">
        <v>46</v>
      </c>
      <c r="H42" s="12" t="s">
        <v>47</v>
      </c>
      <c r="I42" s="24">
        <v>6</v>
      </c>
      <c r="J42" s="12" t="s">
        <v>40</v>
      </c>
      <c r="K42" s="12" t="s">
        <v>105</v>
      </c>
      <c r="L42" s="24">
        <v>8</v>
      </c>
      <c r="M42" s="21" t="s">
        <v>26</v>
      </c>
      <c r="N42" s="39" t="s">
        <v>147</v>
      </c>
      <c r="O42" s="37" t="str">
        <f t="shared" si="3"/>
        <v>N/A</v>
      </c>
      <c r="P42" s="38" t="str">
        <f t="shared" si="4"/>
        <v>N/A</v>
      </c>
      <c r="Q42" s="40" t="str">
        <f t="shared" si="5"/>
        <v>N/A</v>
      </c>
    </row>
    <row r="43" spans="1:17" ht="12.75" x14ac:dyDescent="0.2">
      <c r="A43" s="11" t="s">
        <v>128</v>
      </c>
      <c r="B43" s="11" t="s">
        <v>116</v>
      </c>
      <c r="C43" s="14">
        <v>6.9099999999999995E-2</v>
      </c>
      <c r="D43" s="15">
        <v>9.4500000000000001E-2</v>
      </c>
      <c r="E43" s="8" t="s">
        <v>45</v>
      </c>
      <c r="F43" s="42">
        <v>3.75</v>
      </c>
      <c r="G43" s="4" t="s">
        <v>24</v>
      </c>
      <c r="H43" s="4" t="s">
        <v>11</v>
      </c>
      <c r="I43" s="24">
        <v>4.75</v>
      </c>
      <c r="J43" s="4" t="s">
        <v>13</v>
      </c>
      <c r="K43" s="4" t="s">
        <v>13</v>
      </c>
      <c r="L43" s="24">
        <v>5.25</v>
      </c>
      <c r="M43" s="20" t="s">
        <v>25</v>
      </c>
      <c r="N43" s="36">
        <v>5.75</v>
      </c>
      <c r="O43" s="37">
        <f t="shared" si="3"/>
        <v>5.5</v>
      </c>
      <c r="P43" s="38">
        <f t="shared" si="4"/>
        <v>0.5</v>
      </c>
      <c r="Q43" s="40">
        <f t="shared" si="5"/>
        <v>9.5238095238095233E-2</v>
      </c>
    </row>
    <row r="44" spans="1:17" ht="12.75" x14ac:dyDescent="0.2">
      <c r="A44" s="11" t="s">
        <v>129</v>
      </c>
      <c r="B44" s="11" t="s">
        <v>116</v>
      </c>
      <c r="C44" s="14">
        <v>6.6699999999999995E-2</v>
      </c>
      <c r="D44" s="15">
        <v>9.1200000000000003E-2</v>
      </c>
      <c r="E44" s="8" t="s">
        <v>130</v>
      </c>
      <c r="F44" s="42">
        <v>3.5</v>
      </c>
      <c r="G44" s="4" t="s">
        <v>130</v>
      </c>
      <c r="H44" s="4" t="s">
        <v>45</v>
      </c>
      <c r="I44" s="24">
        <v>4</v>
      </c>
      <c r="J44" s="4" t="s">
        <v>45</v>
      </c>
      <c r="K44" s="4" t="s">
        <v>24</v>
      </c>
      <c r="L44" s="24">
        <v>4.5</v>
      </c>
      <c r="M44" s="20" t="s">
        <v>24</v>
      </c>
      <c r="N44" s="36">
        <v>4.25</v>
      </c>
      <c r="O44" s="37">
        <f t="shared" si="3"/>
        <v>4.375</v>
      </c>
      <c r="P44" s="38">
        <f t="shared" si="4"/>
        <v>-0.25</v>
      </c>
      <c r="Q44" s="40">
        <f t="shared" si="5"/>
        <v>-5.5555555555555552E-2</v>
      </c>
    </row>
    <row r="45" spans="1:17" ht="12.75" x14ac:dyDescent="0.2">
      <c r="A45" s="11" t="s">
        <v>135</v>
      </c>
      <c r="B45" s="11" t="s">
        <v>116</v>
      </c>
      <c r="C45" s="17"/>
      <c r="D45" s="18"/>
      <c r="E45" s="8" t="s">
        <v>45</v>
      </c>
      <c r="F45" s="42">
        <v>3.75</v>
      </c>
      <c r="G45" s="4" t="s">
        <v>45</v>
      </c>
      <c r="H45" s="4" t="s">
        <v>24</v>
      </c>
      <c r="I45" s="24">
        <v>4.25</v>
      </c>
      <c r="J45" s="4" t="s">
        <v>24</v>
      </c>
      <c r="K45" s="4" t="s">
        <v>11</v>
      </c>
      <c r="L45" s="24">
        <v>4.75</v>
      </c>
      <c r="M45" s="20" t="s">
        <v>11</v>
      </c>
      <c r="N45" s="36">
        <v>4.75</v>
      </c>
      <c r="O45" s="37">
        <f t="shared" si="3"/>
        <v>4.75</v>
      </c>
      <c r="P45" s="38">
        <f t="shared" si="4"/>
        <v>0</v>
      </c>
      <c r="Q45" s="40">
        <f t="shared" si="5"/>
        <v>0</v>
      </c>
    </row>
    <row r="46" spans="1:17" ht="12.75" x14ac:dyDescent="0.2">
      <c r="A46" s="11" t="s">
        <v>132</v>
      </c>
      <c r="B46" s="11" t="s">
        <v>133</v>
      </c>
      <c r="C46" s="14">
        <v>7.1499999999999994E-2</v>
      </c>
      <c r="D46" s="15">
        <v>9.69E-2</v>
      </c>
      <c r="E46" s="8" t="s">
        <v>24</v>
      </c>
      <c r="F46" s="42">
        <v>4</v>
      </c>
      <c r="G46" s="4" t="s">
        <v>11</v>
      </c>
      <c r="H46" s="4" t="s">
        <v>20</v>
      </c>
      <c r="I46" s="24">
        <v>5</v>
      </c>
      <c r="J46" s="4" t="s">
        <v>13</v>
      </c>
      <c r="K46" s="4" t="s">
        <v>25</v>
      </c>
      <c r="L46" s="24">
        <v>5.75</v>
      </c>
      <c r="M46" s="21" t="s">
        <v>134</v>
      </c>
      <c r="N46" s="36">
        <v>5.75</v>
      </c>
      <c r="O46" s="37">
        <f t="shared" si="3"/>
        <v>5.75</v>
      </c>
      <c r="P46" s="38">
        <f t="shared" si="4"/>
        <v>0</v>
      </c>
      <c r="Q46" s="40">
        <f t="shared" si="5"/>
        <v>0</v>
      </c>
    </row>
    <row r="47" spans="1:17" ht="12.75" x14ac:dyDescent="0.2">
      <c r="A47" s="11" t="s">
        <v>106</v>
      </c>
      <c r="B47" s="11" t="s">
        <v>96</v>
      </c>
      <c r="C47" s="14">
        <v>9.1600000000000001E-2</v>
      </c>
      <c r="D47" s="15">
        <v>0.12740000000000001</v>
      </c>
      <c r="E47" s="8" t="s">
        <v>107</v>
      </c>
      <c r="F47" s="42">
        <v>5.5</v>
      </c>
      <c r="G47" s="4" t="s">
        <v>26</v>
      </c>
      <c r="H47" s="4" t="s">
        <v>14</v>
      </c>
      <c r="I47" s="24">
        <v>6.25</v>
      </c>
      <c r="J47" s="4" t="s">
        <v>26</v>
      </c>
      <c r="K47" s="12" t="s">
        <v>63</v>
      </c>
      <c r="L47" s="24">
        <v>8.5</v>
      </c>
      <c r="M47" s="21" t="s">
        <v>26</v>
      </c>
      <c r="N47" s="39" t="s">
        <v>147</v>
      </c>
      <c r="O47" s="37" t="str">
        <f t="shared" si="3"/>
        <v>N/A</v>
      </c>
      <c r="P47" s="38" t="str">
        <f t="shared" si="4"/>
        <v>N/A</v>
      </c>
      <c r="Q47" s="40" t="str">
        <f t="shared" si="5"/>
        <v>N/A</v>
      </c>
    </row>
    <row r="48" spans="1:17" ht="12.75" x14ac:dyDescent="0.2">
      <c r="A48" s="11" t="s">
        <v>137</v>
      </c>
      <c r="B48" s="11" t="s">
        <v>44</v>
      </c>
      <c r="C48" s="17"/>
      <c r="D48" s="18"/>
      <c r="E48" s="8" t="s">
        <v>11</v>
      </c>
      <c r="F48" s="42">
        <v>4.5</v>
      </c>
      <c r="G48" s="4" t="s">
        <v>25</v>
      </c>
      <c r="H48" s="4" t="s">
        <v>25</v>
      </c>
      <c r="I48" s="24">
        <v>5.75</v>
      </c>
      <c r="J48" s="4" t="s">
        <v>14</v>
      </c>
      <c r="K48" s="12" t="s">
        <v>26</v>
      </c>
      <c r="L48" s="25" t="s">
        <v>147</v>
      </c>
      <c r="M48" s="21" t="s">
        <v>26</v>
      </c>
      <c r="N48" s="39" t="s">
        <v>147</v>
      </c>
      <c r="O48" s="37" t="str">
        <f t="shared" si="3"/>
        <v>N/A</v>
      </c>
      <c r="P48" s="38" t="str">
        <f t="shared" si="4"/>
        <v>N/A</v>
      </c>
      <c r="Q48" s="40" t="str">
        <f t="shared" si="5"/>
        <v>N/A</v>
      </c>
    </row>
    <row r="49" spans="1:17" ht="12.75" x14ac:dyDescent="0.2">
      <c r="A49" s="11" t="s">
        <v>59</v>
      </c>
      <c r="B49" s="11" t="s">
        <v>32</v>
      </c>
      <c r="C49" s="14">
        <v>8.2699999999999996E-2</v>
      </c>
      <c r="D49" s="15">
        <v>0.1171</v>
      </c>
      <c r="E49" s="8" t="s">
        <v>11</v>
      </c>
      <c r="F49" s="42">
        <v>4.5</v>
      </c>
      <c r="G49" s="4" t="s">
        <v>13</v>
      </c>
      <c r="H49" s="4" t="s">
        <v>21</v>
      </c>
      <c r="I49" s="24">
        <v>5.5</v>
      </c>
      <c r="J49" s="4" t="s">
        <v>25</v>
      </c>
      <c r="K49" s="4" t="s">
        <v>53</v>
      </c>
      <c r="L49" s="24">
        <v>6.75</v>
      </c>
      <c r="M49" s="20" t="s">
        <v>42</v>
      </c>
      <c r="N49" s="36">
        <v>7</v>
      </c>
      <c r="O49" s="37">
        <f t="shared" si="3"/>
        <v>6.875</v>
      </c>
      <c r="P49" s="38">
        <f t="shared" si="4"/>
        <v>0.25</v>
      </c>
      <c r="Q49" s="40">
        <f t="shared" si="5"/>
        <v>3.7037037037037035E-2</v>
      </c>
    </row>
    <row r="50" spans="1:17" ht="12.75" x14ac:dyDescent="0.2">
      <c r="A50" s="11" t="s">
        <v>60</v>
      </c>
      <c r="B50" s="11" t="s">
        <v>61</v>
      </c>
      <c r="C50" s="14">
        <v>7.4700000000000003E-2</v>
      </c>
      <c r="D50" s="15">
        <v>0.1085</v>
      </c>
      <c r="E50" s="8" t="s">
        <v>39</v>
      </c>
      <c r="F50" s="42">
        <v>4.5</v>
      </c>
      <c r="G50" s="4" t="s">
        <v>20</v>
      </c>
      <c r="H50" s="4" t="s">
        <v>13</v>
      </c>
      <c r="I50" s="24">
        <v>5.25</v>
      </c>
      <c r="J50" s="12" t="s">
        <v>62</v>
      </c>
      <c r="K50" s="12" t="s">
        <v>33</v>
      </c>
      <c r="L50" s="24">
        <v>6.6</v>
      </c>
      <c r="M50" s="21" t="s">
        <v>63</v>
      </c>
      <c r="N50" s="36">
        <v>8</v>
      </c>
      <c r="O50" s="37">
        <f t="shared" si="3"/>
        <v>7.3</v>
      </c>
      <c r="P50" s="38">
        <f t="shared" si="4"/>
        <v>1.4000000000000004</v>
      </c>
      <c r="Q50" s="40">
        <f t="shared" si="5"/>
        <v>0.21212121212121218</v>
      </c>
    </row>
    <row r="51" spans="1:17" ht="12.75" x14ac:dyDescent="0.2">
      <c r="A51" s="1"/>
    </row>
    <row r="52" spans="1:17" ht="12.75" x14ac:dyDescent="0.2">
      <c r="A52" s="1" t="s">
        <v>174</v>
      </c>
    </row>
    <row r="53" spans="1:17" ht="12.75" x14ac:dyDescent="0.2">
      <c r="A53" s="2" t="s">
        <v>145</v>
      </c>
    </row>
    <row r="55" spans="1:17" ht="15.75" customHeight="1" x14ac:dyDescent="0.2">
      <c r="A55" s="9" t="s">
        <v>146</v>
      </c>
    </row>
    <row r="56" spans="1:17" ht="15.75" customHeight="1" x14ac:dyDescent="0.2">
      <c r="A56" s="9" t="s">
        <v>148</v>
      </c>
    </row>
    <row r="57" spans="1:17" ht="15.75" customHeight="1" x14ac:dyDescent="0.2">
      <c r="A57" s="9" t="s">
        <v>171</v>
      </c>
    </row>
    <row r="58" spans="1:17" ht="15.75" customHeight="1" x14ac:dyDescent="0.2">
      <c r="A58" s="9" t="s">
        <v>153</v>
      </c>
    </row>
    <row r="59" spans="1:17" ht="15.75" customHeight="1" x14ac:dyDescent="0.2">
      <c r="A59" s="9" t="s">
        <v>172</v>
      </c>
    </row>
    <row r="60" spans="1:17" ht="15.75" customHeight="1" x14ac:dyDescent="0.2">
      <c r="A60" s="9" t="s">
        <v>173</v>
      </c>
    </row>
  </sheetData>
  <sortState ref="A3:P50">
    <sortCondition ref="A3:A50"/>
  </sortState>
  <mergeCells count="2">
    <mergeCell ref="E1:P1"/>
    <mergeCell ref="C1:D1"/>
  </mergeCells>
  <hyperlinks>
    <hyperlink ref="A5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Edwards</dc:creator>
  <cp:lastModifiedBy>Andy</cp:lastModifiedBy>
  <dcterms:created xsi:type="dcterms:W3CDTF">2016-03-29T21:51:32Z</dcterms:created>
  <dcterms:modified xsi:type="dcterms:W3CDTF">2018-10-31T19:29:02Z</dcterms:modified>
</cp:coreProperties>
</file>