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gachile\Desktop\"/>
    </mc:Choice>
  </mc:AlternateContent>
  <bookViews>
    <workbookView xWindow="0" yWindow="0" windowWidth="17190" windowHeight="6750"/>
  </bookViews>
  <sheets>
    <sheet name="Master Sheet" sheetId="2" r:id="rId1"/>
    <sheet name="Sheet3" sheetId="5" state="hidden" r:id="rId2"/>
    <sheet name="Single DCF" sheetId="12" state="hidden" r:id="rId3"/>
    <sheet name="DCF" sheetId="6" state="hidden" r:id="rId4"/>
    <sheet name="Balloon Payment" sheetId="11" state="hidden" r:id="rId5"/>
  </sheets>
  <externalReferences>
    <externalReference r:id="rId6"/>
  </externalReferences>
  <definedNames>
    <definedName name="MPCalc1">[1]Internals!$D$4</definedName>
    <definedName name="MPCalc10">[1]Internals!$D$13</definedName>
    <definedName name="MPCalc11">[1]Internals!$D$14</definedName>
    <definedName name="MPCalc12">[1]Internals!$D$15</definedName>
    <definedName name="MPCalc2">[1]Internals!$D$5</definedName>
    <definedName name="MPCalc3">[1]Internals!$D$6</definedName>
    <definedName name="MPCalc4">[1]Internals!$D$7</definedName>
    <definedName name="MPCalc5">[1]Internals!$D$8</definedName>
    <definedName name="MPCalc6">[1]Internals!$D$9</definedName>
    <definedName name="MPCalc7">[1]Internals!$D$10</definedName>
    <definedName name="MPCalc8">[1]Internals!$D$11</definedName>
    <definedName name="MPCalc9">[1]Internals!$D$12</definedName>
  </definedNames>
  <calcPr calcId="162913" concurrentCalc="0"/>
</workbook>
</file>

<file path=xl/calcChain.xml><?xml version="1.0" encoding="utf-8"?>
<calcChain xmlns="http://schemas.openxmlformats.org/spreadsheetml/2006/main">
  <c r="I92" i="2" l="1"/>
  <c r="J40" i="2"/>
  <c r="J41" i="2"/>
  <c r="J52" i="2"/>
  <c r="J47" i="2"/>
  <c r="J49" i="2"/>
  <c r="J50" i="2"/>
  <c r="J51" i="2"/>
  <c r="J53" i="2"/>
  <c r="E18" i="2"/>
  <c r="E16" i="2"/>
  <c r="E23" i="2"/>
  <c r="E24" i="2"/>
  <c r="E25" i="2"/>
  <c r="E27" i="2"/>
  <c r="F75" i="2"/>
  <c r="E15" i="2"/>
  <c r="F30" i="2"/>
  <c r="F32" i="2"/>
  <c r="F34" i="2"/>
  <c r="I54" i="2"/>
  <c r="J54" i="2"/>
  <c r="J55" i="2"/>
  <c r="J61" i="2"/>
  <c r="J57" i="2"/>
  <c r="G31" i="2"/>
  <c r="I31" i="2"/>
  <c r="J31" i="2"/>
  <c r="J59" i="2"/>
  <c r="J62" i="2"/>
  <c r="J63" i="2"/>
  <c r="J64" i="2"/>
  <c r="I50" i="2"/>
  <c r="J58" i="2"/>
  <c r="F67" i="2"/>
  <c r="G67" i="2"/>
  <c r="H67" i="2"/>
  <c r="F68" i="2"/>
  <c r="G68" i="2"/>
  <c r="H68" i="2"/>
  <c r="H73" i="2"/>
  <c r="I67" i="2"/>
  <c r="I68" i="2"/>
  <c r="I73" i="2"/>
  <c r="J67" i="2"/>
  <c r="J68" i="2"/>
  <c r="J73" i="2"/>
  <c r="G73" i="2"/>
  <c r="F73" i="2"/>
  <c r="F74" i="2"/>
  <c r="G74" i="2"/>
  <c r="H74" i="2"/>
  <c r="I74" i="2"/>
  <c r="J74" i="2"/>
  <c r="F72" i="2"/>
  <c r="G72" i="2"/>
  <c r="H72" i="2"/>
  <c r="I72" i="2"/>
  <c r="J72" i="2"/>
  <c r="I41" i="2"/>
  <c r="J12" i="2"/>
  <c r="E14" i="2"/>
  <c r="E17" i="2"/>
  <c r="E19" i="2"/>
  <c r="D25" i="2"/>
  <c r="G32" i="2"/>
  <c r="I32" i="2"/>
  <c r="J32" i="2"/>
  <c r="G33" i="2"/>
  <c r="I33" i="2"/>
  <c r="J33" i="2"/>
  <c r="G34" i="2"/>
  <c r="I34" i="2"/>
  <c r="J34" i="2"/>
  <c r="G35" i="2"/>
  <c r="I35" i="2"/>
  <c r="J35" i="2"/>
  <c r="I36" i="2"/>
  <c r="I42" i="2"/>
  <c r="I43" i="2"/>
  <c r="I44" i="2"/>
  <c r="I45" i="2"/>
  <c r="I46" i="2"/>
  <c r="I47" i="2"/>
  <c r="I48" i="2"/>
  <c r="I49" i="2"/>
  <c r="I51" i="2"/>
  <c r="I52" i="2"/>
  <c r="I53" i="2"/>
  <c r="I55" i="2"/>
  <c r="J56" i="2"/>
  <c r="I57" i="2"/>
  <c r="F69" i="2"/>
  <c r="G69" i="2"/>
  <c r="H69" i="2"/>
  <c r="I69" i="2"/>
  <c r="J69" i="2"/>
  <c r="F70" i="2"/>
  <c r="G70" i="2"/>
  <c r="H70" i="2"/>
  <c r="I70" i="2"/>
  <c r="J70" i="2"/>
  <c r="F71" i="2"/>
  <c r="G71" i="2"/>
  <c r="H71" i="2"/>
  <c r="I71" i="2"/>
  <c r="J71" i="2"/>
  <c r="G75" i="2"/>
  <c r="H75" i="2"/>
  <c r="I75" i="2"/>
  <c r="J75" i="2"/>
  <c r="F76" i="2"/>
  <c r="G76" i="2"/>
  <c r="H76" i="2"/>
  <c r="I76" i="2"/>
  <c r="J76" i="2"/>
  <c r="F77" i="2"/>
  <c r="F78" i="2"/>
  <c r="F79" i="2"/>
  <c r="F80" i="2"/>
  <c r="F81" i="2"/>
  <c r="G81" i="2"/>
  <c r="H81" i="2"/>
  <c r="I81" i="2"/>
  <c r="J81" i="2"/>
  <c r="F82" i="2"/>
  <c r="F84" i="2"/>
  <c r="G84" i="2"/>
  <c r="H84" i="2"/>
  <c r="I84" i="2"/>
  <c r="J84" i="2"/>
  <c r="F85" i="2"/>
  <c r="G85" i="2"/>
  <c r="H85" i="2"/>
  <c r="I85" i="2"/>
  <c r="J85" i="2"/>
  <c r="F86" i="2"/>
  <c r="F88" i="2"/>
  <c r="F89" i="2"/>
  <c r="F90" i="2"/>
  <c r="M93" i="2"/>
  <c r="N93" i="2"/>
  <c r="O93" i="2"/>
  <c r="P93" i="2"/>
  <c r="I93" i="2"/>
  <c r="I94" i="2"/>
  <c r="I95" i="2"/>
  <c r="I96" i="2"/>
  <c r="I97" i="2"/>
  <c r="G100" i="2"/>
  <c r="I101" i="2"/>
  <c r="I98" i="2"/>
  <c r="F100" i="2"/>
  <c r="I100" i="2"/>
  <c r="I102" i="2"/>
  <c r="H103" i="2"/>
  <c r="I103" i="2"/>
  <c r="E107" i="2"/>
  <c r="F108" i="2"/>
  <c r="J109" i="2"/>
  <c r="E110" i="2"/>
  <c r="F110" i="2"/>
  <c r="F113" i="2"/>
  <c r="J114" i="2"/>
  <c r="E115" i="2"/>
  <c r="F115" i="2"/>
  <c r="C6" i="12"/>
  <c r="B5" i="6"/>
  <c r="C5" i="6"/>
  <c r="C10" i="6"/>
  <c r="C11" i="6"/>
  <c r="C12" i="6"/>
  <c r="C13" i="6"/>
  <c r="C14" i="6"/>
  <c r="D1" i="11"/>
  <c r="D2" i="11"/>
  <c r="E2" i="11"/>
  <c r="D4" i="11"/>
  <c r="G2" i="11"/>
  <c r="H2" i="11"/>
  <c r="D3" i="11"/>
  <c r="E3" i="11"/>
  <c r="G3" i="11"/>
  <c r="H3" i="11"/>
  <c r="E4" i="11"/>
  <c r="G4" i="11"/>
  <c r="H4" i="11"/>
  <c r="E5" i="11"/>
  <c r="G5" i="11"/>
  <c r="H5" i="11"/>
  <c r="E6" i="11"/>
  <c r="G6" i="11"/>
  <c r="H6" i="11"/>
  <c r="E7" i="11"/>
  <c r="G7" i="11"/>
  <c r="H7" i="11"/>
  <c r="E8" i="11"/>
  <c r="G8" i="11"/>
  <c r="H8" i="11"/>
  <c r="E9" i="11"/>
  <c r="G9" i="11"/>
  <c r="H9" i="11"/>
  <c r="E10" i="11"/>
  <c r="G10" i="11"/>
  <c r="H10" i="11"/>
  <c r="E11" i="11"/>
  <c r="G11" i="11"/>
  <c r="H11" i="11"/>
  <c r="E12" i="11"/>
  <c r="G12" i="11"/>
  <c r="H12" i="11"/>
  <c r="E13" i="11"/>
  <c r="G13" i="11"/>
  <c r="H13" i="11"/>
  <c r="E14" i="11"/>
  <c r="G14" i="11"/>
  <c r="H14" i="11"/>
  <c r="E15" i="11"/>
  <c r="G15" i="11"/>
  <c r="H15" i="11"/>
  <c r="E16" i="11"/>
  <c r="G16" i="11"/>
  <c r="H16" i="11"/>
  <c r="E17" i="11"/>
  <c r="G17" i="11"/>
  <c r="H17" i="11"/>
  <c r="E18" i="11"/>
  <c r="G18" i="11"/>
  <c r="H18" i="11"/>
  <c r="E19" i="11"/>
  <c r="G19" i="11"/>
  <c r="H19" i="11"/>
  <c r="E20" i="11"/>
  <c r="G20" i="11"/>
  <c r="H20" i="11"/>
  <c r="E21" i="11"/>
  <c r="G21" i="11"/>
  <c r="H21" i="11"/>
  <c r="E22" i="11"/>
  <c r="G22" i="11"/>
  <c r="H22" i="11"/>
  <c r="E23" i="11"/>
  <c r="G23" i="11"/>
  <c r="H23" i="11"/>
  <c r="E24" i="11"/>
  <c r="G24" i="11"/>
  <c r="H24" i="11"/>
  <c r="E25" i="11"/>
  <c r="G25" i="11"/>
  <c r="H25" i="11"/>
  <c r="E26" i="11"/>
  <c r="G26" i="11"/>
  <c r="H26" i="11"/>
  <c r="E27" i="11"/>
  <c r="G27" i="11"/>
  <c r="H27" i="11"/>
  <c r="E28" i="11"/>
  <c r="G28" i="11"/>
  <c r="H28" i="11"/>
  <c r="E29" i="11"/>
  <c r="G29" i="11"/>
  <c r="H29" i="11"/>
  <c r="E30" i="11"/>
  <c r="G30" i="11"/>
  <c r="H30" i="11"/>
  <c r="E31" i="11"/>
  <c r="G31" i="11"/>
  <c r="H31" i="11"/>
  <c r="G77" i="2"/>
  <c r="G78" i="2"/>
  <c r="G79" i="2"/>
  <c r="H77" i="2"/>
  <c r="H78" i="2"/>
  <c r="H79" i="2"/>
  <c r="I77" i="2"/>
  <c r="I78" i="2"/>
  <c r="I79" i="2"/>
  <c r="J77" i="2"/>
  <c r="J78" i="2"/>
  <c r="J79" i="2"/>
  <c r="G80" i="2"/>
  <c r="H80" i="2"/>
  <c r="I80" i="2"/>
  <c r="J80" i="2"/>
  <c r="G82" i="2"/>
  <c r="G88" i="2"/>
  <c r="G86" i="2"/>
  <c r="G89" i="2"/>
  <c r="G90" i="2"/>
  <c r="H82" i="2"/>
  <c r="H88" i="2"/>
  <c r="H86" i="2"/>
  <c r="H89" i="2"/>
  <c r="H90" i="2"/>
  <c r="I82" i="2"/>
  <c r="I88" i="2"/>
  <c r="I86" i="2"/>
  <c r="I89" i="2"/>
  <c r="I90" i="2"/>
  <c r="J82" i="2"/>
  <c r="J88" i="2"/>
  <c r="J86" i="2"/>
  <c r="J89" i="2"/>
  <c r="J90" i="2"/>
  <c r="G108" i="2"/>
  <c r="G110" i="2"/>
  <c r="H108" i="2"/>
  <c r="H110" i="2"/>
  <c r="I108" i="2"/>
  <c r="I110" i="2"/>
  <c r="J108" i="2"/>
  <c r="J110" i="2"/>
  <c r="J111" i="2"/>
  <c r="G113" i="2"/>
  <c r="H113" i="2"/>
  <c r="I113" i="2"/>
  <c r="J113" i="2"/>
  <c r="H115" i="2"/>
  <c r="I115" i="2"/>
  <c r="J115" i="2"/>
  <c r="G115" i="2"/>
  <c r="J116" i="2"/>
  <c r="B7" i="6"/>
  <c r="C7" i="6"/>
  <c r="B8" i="6"/>
  <c r="C8" i="6"/>
  <c r="B9" i="6"/>
  <c r="C9" i="6"/>
  <c r="B6" i="6"/>
  <c r="C6" i="6"/>
  <c r="C15" i="6"/>
  <c r="C16" i="6"/>
  <c r="C17" i="6"/>
</calcChain>
</file>

<file path=xl/sharedStrings.xml><?xml version="1.0" encoding="utf-8"?>
<sst xmlns="http://schemas.openxmlformats.org/spreadsheetml/2006/main" count="168" uniqueCount="134">
  <si>
    <t>RATE OF RETURN AFTER 5 YEARS</t>
  </si>
  <si>
    <t>D1</t>
  </si>
  <si>
    <t>D2</t>
  </si>
  <si>
    <t>D3</t>
  </si>
  <si>
    <t>D4</t>
  </si>
  <si>
    <t>D5</t>
  </si>
  <si>
    <t>Cash Flow (before Tax)</t>
  </si>
  <si>
    <t>Tax Savings/(Liability)</t>
  </si>
  <si>
    <t>Miscellaneous</t>
  </si>
  <si>
    <t>Water, Sewer, Electricity,Garbage</t>
  </si>
  <si>
    <t>Repairs and Maintenance</t>
  </si>
  <si>
    <t>Legal</t>
  </si>
  <si>
    <t>Cleaning</t>
  </si>
  <si>
    <t>Discounted Cash Flow</t>
  </si>
  <si>
    <t>Periodic Rate</t>
  </si>
  <si>
    <t>GROSS OPERATING INCOME</t>
  </si>
  <si>
    <t>Net Income Multiplier</t>
  </si>
  <si>
    <t>Market Cap Rate</t>
  </si>
  <si>
    <t>Present Market Value</t>
  </si>
  <si>
    <t>Gross Scheduled Income/Net Rents</t>
  </si>
  <si>
    <t>TOTAL NPV</t>
  </si>
  <si>
    <t>PROFITABILITY INDEX</t>
  </si>
  <si>
    <t>DCF OVER 5 YEARS</t>
  </si>
  <si>
    <t>DCF</t>
  </si>
  <si>
    <t>Operating Expense Ratio</t>
  </si>
  <si>
    <t>Debt Coverage Ratio</t>
  </si>
  <si>
    <t>Break Even Ratio</t>
  </si>
  <si>
    <t>Basis</t>
  </si>
  <si>
    <t>Adjusted Basis</t>
  </si>
  <si>
    <t>PV of Future Cash Flow</t>
  </si>
  <si>
    <t>No. of Periods</t>
  </si>
  <si>
    <t>Sales Price</t>
  </si>
  <si>
    <t>Future Sales Price</t>
  </si>
  <si>
    <t>DCF Year 1</t>
  </si>
  <si>
    <t>DCF Year 2</t>
  </si>
  <si>
    <t>DCF Year 3</t>
  </si>
  <si>
    <t>DCF Year 4</t>
  </si>
  <si>
    <t>DCF Year 5</t>
  </si>
  <si>
    <t>Single DCF</t>
  </si>
  <si>
    <t>Capital Gains tax due</t>
  </si>
  <si>
    <t>PURCHASE ANALYSIS</t>
  </si>
  <si>
    <t>Property Address:</t>
  </si>
  <si>
    <t>Date</t>
  </si>
  <si>
    <t>INPUTS</t>
  </si>
  <si>
    <t>Cap Rate</t>
  </si>
  <si>
    <t>Payments Left</t>
  </si>
  <si>
    <t>Yr1-2</t>
  </si>
  <si>
    <t>Yr2-3</t>
  </si>
  <si>
    <t>Yr3-4</t>
  </si>
  <si>
    <t>Yr4-5</t>
  </si>
  <si>
    <t>Appreciation Schedule</t>
  </si>
  <si>
    <t>Purchase PV</t>
  </si>
  <si>
    <t>FINANCING ANALYSIS</t>
  </si>
  <si>
    <t>Internal Rate of Return</t>
  </si>
  <si>
    <t># of Units</t>
  </si>
  <si>
    <t>Total Square Footage</t>
  </si>
  <si>
    <t>Price Per Square Foot</t>
  </si>
  <si>
    <t>Price Per Unit</t>
  </si>
  <si>
    <t>Gross Rent Multiplier</t>
  </si>
  <si>
    <t>Vacancies</t>
  </si>
  <si>
    <t>Cash on Cash Return 1st Year</t>
  </si>
  <si>
    <t>Interest Rate (r )</t>
  </si>
  <si>
    <t>Leverage:</t>
  </si>
  <si>
    <t>Marginal Tax Bracket:</t>
  </si>
  <si>
    <t>Appreciation:</t>
  </si>
  <si>
    <t>Capital Gains Rate:</t>
  </si>
  <si>
    <t>Interest Rate:</t>
  </si>
  <si>
    <t>Value of the Land:</t>
  </si>
  <si>
    <t>Purchase Price</t>
  </si>
  <si>
    <t>Closing Costs</t>
  </si>
  <si>
    <t>Total Cost</t>
  </si>
  <si>
    <t>First Mortgage</t>
  </si>
  <si>
    <t>Second Mortgage</t>
  </si>
  <si>
    <t>Down Payment</t>
  </si>
  <si>
    <t>Year</t>
  </si>
  <si>
    <t>Closing Loan Balance</t>
  </si>
  <si>
    <t>Amortization</t>
  </si>
  <si>
    <t>Term in Months (n)</t>
  </si>
  <si>
    <t>Amount Borrowed (PV)</t>
  </si>
  <si>
    <t>Balloon Payment (FV)</t>
  </si>
  <si>
    <t>Monthly Payment (D)</t>
  </si>
  <si>
    <t>Total Pay Down</t>
  </si>
  <si>
    <t>FIRST YEAR OPERATING PROJECTION</t>
  </si>
  <si>
    <t>Income/Expense</t>
  </si>
  <si>
    <t>Based on</t>
  </si>
  <si>
    <t>Monthly</t>
  </si>
  <si>
    <t>Annual</t>
  </si>
  <si>
    <t>Advertising</t>
  </si>
  <si>
    <t>Contingency</t>
  </si>
  <si>
    <t>Insurance</t>
  </si>
  <si>
    <t>Property Management % of Gross Rents</t>
  </si>
  <si>
    <t>Property Taxes</t>
  </si>
  <si>
    <t>Water, Sewer, Garbage</t>
  </si>
  <si>
    <t>TOTAL OPERATING EXPENSE</t>
  </si>
  <si>
    <t>NET OPERATING INCOME</t>
  </si>
  <si>
    <t>Mortgage</t>
  </si>
  <si>
    <t>Cash Flow</t>
  </si>
  <si>
    <t>Depreciation (affects TI not CF)</t>
  </si>
  <si>
    <t>Taxable Income</t>
  </si>
  <si>
    <t>Tax Savings</t>
  </si>
  <si>
    <t>After Tax Cash Flow</t>
  </si>
  <si>
    <t>FIVE YEAR OPERATING PROJECTION:</t>
  </si>
  <si>
    <t>Escalator</t>
  </si>
  <si>
    <t>Year: 1</t>
  </si>
  <si>
    <t>Year: 2</t>
  </si>
  <si>
    <t>Year: 3</t>
  </si>
  <si>
    <t>Year: 4</t>
  </si>
  <si>
    <t>Year: 5</t>
  </si>
  <si>
    <t>Rent</t>
  </si>
  <si>
    <t>Cleaning and Maintenance</t>
  </si>
  <si>
    <t>Property Mgt.</t>
  </si>
  <si>
    <t>CASH FLOW</t>
  </si>
  <si>
    <t>Depreciation</t>
  </si>
  <si>
    <t>Pay Down on Mortgage</t>
  </si>
  <si>
    <t>TAXABLE INCOME</t>
  </si>
  <si>
    <t>AFTER TAX CASH FLOW</t>
  </si>
  <si>
    <t>SALES ANALYSIS AFTER 5 YEARS</t>
  </si>
  <si>
    <t>Appreciation</t>
  </si>
  <si>
    <t>Loan Balance End of 5 years</t>
  </si>
  <si>
    <t>Estimated Closing Costs</t>
  </si>
  <si>
    <t>Real Estate Commission</t>
  </si>
  <si>
    <t>Net Proceeds of Sale</t>
  </si>
  <si>
    <t>Actual Capital Gain</t>
  </si>
  <si>
    <t>Accumulated Depreciation</t>
  </si>
  <si>
    <t>Taxable Capital Gain</t>
  </si>
  <si>
    <t>Income Tax</t>
  </si>
  <si>
    <t>Return on Equity</t>
  </si>
  <si>
    <t>Tax Cost</t>
  </si>
  <si>
    <t xml:space="preserve">Mortgage Interest </t>
  </si>
  <si>
    <t>1500 Hemphill St.  Charlotte, NC 28208</t>
  </si>
  <si>
    <t>Cash Flow (after tax)</t>
  </si>
  <si>
    <t>COMPARATIVE ANALYSIS</t>
  </si>
  <si>
    <t>Deal Analyzer for Rentals</t>
  </si>
  <si>
    <t>**Only Yellow numbers should be replaced in top section of the Analyzer.  Yellow block should be filled in below as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</si>
</sst>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&quot;$&quot;* #,##0_);_(&quot;$&quot;* \(#,##0\);_(&quot;$&quot;* &quot;-&quot;??_);_(@_)"/>
    <numFmt numFmtId="168" formatCode="0.0%"/>
    <numFmt numFmtId="169" formatCode="&quot;$&quot;#,##0"/>
    <numFmt numFmtId="170" formatCode="&quot;$&quot;#,##0.00"/>
    <numFmt numFmtId="171" formatCode="&quot;$&quot;#,##0.0"/>
    <numFmt numFmtId="172" formatCode="0.0"/>
    <numFmt numFmtId="173" formatCode="_(* #,##0_);_(* \(#,##0\);_(* &quot;-&quot;??_);_(@_)"/>
    <numFmt numFmtId="174" formatCode="&quot;$&quot;#,##0.00;[Red]&quot;$&quot;#,##0.00"/>
  </numFmts>
  <fonts count="25" x14ac:knownFonts="1">
    <font>
      <sz val="10"/>
      <name val="Arial"/>
    </font>
    <font>
      <sz val="10"/>
      <name val="Arial"/>
    </font>
    <font>
      <sz val="8"/>
      <name val="Arial"/>
    </font>
    <font>
      <b/>
      <sz val="12"/>
      <name val="Arial"/>
      <family val="2"/>
    </font>
    <font>
      <sz val="12"/>
      <name val="Arial"/>
    </font>
    <font>
      <sz val="15"/>
      <name val="Arial"/>
    </font>
    <font>
      <b/>
      <sz val="15"/>
      <name val="Arial"/>
    </font>
    <font>
      <b/>
      <sz val="15"/>
      <color indexed="9"/>
      <name val="Arial"/>
    </font>
    <font>
      <b/>
      <i/>
      <sz val="15"/>
      <color indexed="9"/>
      <name val="Arial"/>
    </font>
    <font>
      <i/>
      <sz val="15"/>
      <color indexed="9"/>
      <name val="Arial"/>
    </font>
    <font>
      <b/>
      <sz val="12"/>
      <color indexed="9"/>
      <name val="Arial"/>
      <family val="2"/>
    </font>
    <font>
      <sz val="12"/>
      <color indexed="9"/>
      <name val="Arial"/>
    </font>
    <font>
      <sz val="15"/>
      <color indexed="9"/>
      <name val="Arial"/>
    </font>
    <font>
      <sz val="8"/>
      <name val="Verdana"/>
    </font>
    <font>
      <b/>
      <sz val="10"/>
      <color indexed="9"/>
      <name val="Calibri"/>
      <scheme val="minor"/>
    </font>
    <font>
      <sz val="10"/>
      <name val="Calibri"/>
      <scheme val="minor"/>
    </font>
    <font>
      <b/>
      <sz val="10"/>
      <color theme="9"/>
      <name val="Calibri"/>
      <scheme val="minor"/>
    </font>
    <font>
      <b/>
      <sz val="10"/>
      <name val="Calibri"/>
      <scheme val="minor"/>
    </font>
    <font>
      <i/>
      <sz val="10"/>
      <name val="Calibri"/>
      <scheme val="minor"/>
    </font>
    <font>
      <sz val="10"/>
      <color indexed="9"/>
      <name val="Calibri"/>
      <scheme val="minor"/>
    </font>
    <font>
      <b/>
      <sz val="10"/>
      <color theme="1" tint="4.9989318521683403E-2"/>
      <name val="Calibri"/>
      <family val="2"/>
      <charset val="238"/>
      <scheme val="minor"/>
    </font>
    <font>
      <b/>
      <sz val="22"/>
      <color theme="1"/>
      <name val="Arial"/>
      <family val="2"/>
      <charset val="238"/>
    </font>
    <font>
      <b/>
      <sz val="10"/>
      <color rgb="FFFFC000"/>
      <name val="Calibri"/>
      <family val="2"/>
      <charset val="238"/>
      <scheme val="minor"/>
    </font>
    <font>
      <b/>
      <sz val="10"/>
      <color theme="9" tint="-0.499984740745262"/>
      <name val="Calibri"/>
      <family val="2"/>
      <charset val="238"/>
      <scheme val="minor"/>
    </font>
    <font>
      <b/>
      <sz val="10"/>
      <color indexed="9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5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ck">
        <color theme="0" tint="-0.499984740745262"/>
      </right>
      <top style="thin">
        <color theme="0" tint="-0.499984740745262"/>
      </top>
      <bottom/>
      <diagonal/>
    </border>
    <border>
      <left/>
      <right style="thick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theme="0" tint="-0.499984740745262"/>
      </right>
      <top style="thin">
        <color indexed="64"/>
      </top>
      <bottom/>
      <diagonal/>
    </border>
    <border>
      <left style="thick">
        <color theme="0" tint="-0.499984740745262"/>
      </left>
      <right style="thin">
        <color indexed="64"/>
      </right>
      <top/>
      <bottom style="thick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ck">
        <color theme="0" tint="-0.499984740745262"/>
      </bottom>
      <diagonal/>
    </border>
    <border>
      <left style="thin">
        <color indexed="64"/>
      </left>
      <right style="thick">
        <color theme="0" tint="-0.499984740745262"/>
      </right>
      <top/>
      <bottom style="thick">
        <color theme="0" tint="-0.499984740745262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4" fillId="0" borderId="1" xfId="0" applyFont="1" applyBorder="1"/>
    <xf numFmtId="1" fontId="4" fillId="0" borderId="2" xfId="0" applyNumberFormat="1" applyFont="1" applyBorder="1"/>
    <xf numFmtId="1" fontId="4" fillId="0" borderId="3" xfId="0" applyNumberFormat="1" applyFont="1" applyBorder="1"/>
    <xf numFmtId="170" fontId="4" fillId="0" borderId="3" xfId="0" applyNumberFormat="1" applyFont="1" applyBorder="1"/>
    <xf numFmtId="0" fontId="4" fillId="0" borderId="4" xfId="0" applyFont="1" applyBorder="1"/>
    <xf numFmtId="1" fontId="4" fillId="0" borderId="5" xfId="0" applyNumberFormat="1" applyFont="1" applyBorder="1"/>
    <xf numFmtId="164" fontId="0" fillId="0" borderId="0" xfId="0" applyNumberFormat="1"/>
    <xf numFmtId="0" fontId="5" fillId="2" borderId="0" xfId="0" applyFont="1" applyFill="1" applyBorder="1"/>
    <xf numFmtId="0" fontId="6" fillId="2" borderId="0" xfId="0" applyFont="1" applyFill="1" applyBorder="1"/>
    <xf numFmtId="0" fontId="7" fillId="2" borderId="6" xfId="0" applyFont="1" applyFill="1" applyBorder="1" applyAlignment="1"/>
    <xf numFmtId="0" fontId="7" fillId="2" borderId="5" xfId="0" applyFont="1" applyFill="1" applyBorder="1" applyAlignment="1"/>
    <xf numFmtId="10" fontId="5" fillId="3" borderId="3" xfId="0" applyNumberFormat="1" applyFont="1" applyFill="1" applyBorder="1"/>
    <xf numFmtId="0" fontId="5" fillId="4" borderId="3" xfId="0" applyFont="1" applyFill="1" applyBorder="1"/>
    <xf numFmtId="0" fontId="5" fillId="0" borderId="0" xfId="0" applyFont="1"/>
    <xf numFmtId="166" fontId="5" fillId="0" borderId="3" xfId="1" applyFont="1" applyBorder="1"/>
    <xf numFmtId="166" fontId="5" fillId="3" borderId="3" xfId="1" applyFont="1" applyFill="1" applyBorder="1"/>
    <xf numFmtId="173" fontId="5" fillId="0" borderId="3" xfId="1" applyNumberFormat="1" applyFont="1" applyBorder="1"/>
    <xf numFmtId="0" fontId="8" fillId="2" borderId="3" xfId="0" applyFont="1" applyFill="1" applyBorder="1"/>
    <xf numFmtId="0" fontId="9" fillId="2" borderId="3" xfId="0" applyFont="1" applyFill="1" applyBorder="1"/>
    <xf numFmtId="169" fontId="8" fillId="2" borderId="3" xfId="0" applyNumberFormat="1" applyFont="1" applyFill="1" applyBorder="1"/>
    <xf numFmtId="2" fontId="8" fillId="2" borderId="3" xfId="0" applyNumberFormat="1" applyFont="1" applyFill="1" applyBorder="1"/>
    <xf numFmtId="0" fontId="10" fillId="2" borderId="7" xfId="0" applyFont="1" applyFill="1" applyBorder="1"/>
    <xf numFmtId="0" fontId="11" fillId="2" borderId="8" xfId="0" applyFont="1" applyFill="1" applyBorder="1"/>
    <xf numFmtId="0" fontId="11" fillId="2" borderId="9" xfId="0" applyFont="1" applyFill="1" applyBorder="1"/>
    <xf numFmtId="10" fontId="10" fillId="2" borderId="10" xfId="0" applyNumberFormat="1" applyFont="1" applyFill="1" applyBorder="1"/>
    <xf numFmtId="0" fontId="10" fillId="2" borderId="10" xfId="0" applyFont="1" applyFill="1" applyBorder="1"/>
    <xf numFmtId="0" fontId="10" fillId="2" borderId="11" xfId="0" applyFont="1" applyFill="1" applyBorder="1"/>
    <xf numFmtId="0" fontId="10" fillId="2" borderId="12" xfId="0" applyFont="1" applyFill="1" applyBorder="1"/>
    <xf numFmtId="0" fontId="10" fillId="2" borderId="13" xfId="0" applyFont="1" applyFill="1" applyBorder="1"/>
    <xf numFmtId="0" fontId="10" fillId="2" borderId="0" xfId="0" applyFont="1" applyFill="1" applyBorder="1"/>
    <xf numFmtId="0" fontId="10" fillId="2" borderId="1" xfId="0" applyFont="1" applyFill="1" applyBorder="1"/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/>
    <xf numFmtId="0" fontId="12" fillId="2" borderId="3" xfId="0" applyFont="1" applyFill="1" applyBorder="1"/>
    <xf numFmtId="0" fontId="4" fillId="2" borderId="0" xfId="0" applyFont="1" applyFill="1" applyBorder="1"/>
    <xf numFmtId="0" fontId="11" fillId="2" borderId="0" xfId="0" applyFont="1" applyFill="1" applyBorder="1"/>
    <xf numFmtId="0" fontId="3" fillId="2" borderId="0" xfId="0" applyFont="1" applyFill="1" applyBorder="1"/>
    <xf numFmtId="0" fontId="10" fillId="2" borderId="6" xfId="0" applyFont="1" applyFill="1" applyBorder="1" applyAlignment="1"/>
    <xf numFmtId="0" fontId="10" fillId="2" borderId="5" xfId="0" applyFont="1" applyFill="1" applyBorder="1" applyAlignment="1"/>
    <xf numFmtId="10" fontId="4" fillId="3" borderId="3" xfId="0" applyNumberFormat="1" applyFont="1" applyFill="1" applyBorder="1"/>
    <xf numFmtId="1" fontId="4" fillId="3" borderId="3" xfId="0" applyNumberFormat="1" applyFont="1" applyFill="1" applyBorder="1"/>
    <xf numFmtId="0" fontId="10" fillId="2" borderId="3" xfId="0" applyFont="1" applyFill="1" applyBorder="1"/>
    <xf numFmtId="164" fontId="4" fillId="3" borderId="3" xfId="1" applyNumberFormat="1" applyFont="1" applyFill="1" applyBorder="1"/>
    <xf numFmtId="164" fontId="3" fillId="0" borderId="3" xfId="1" applyNumberFormat="1" applyFont="1" applyBorder="1"/>
    <xf numFmtId="0" fontId="3" fillId="4" borderId="2" xfId="0" applyFont="1" applyFill="1" applyBorder="1"/>
    <xf numFmtId="164" fontId="3" fillId="4" borderId="17" xfId="0" applyNumberFormat="1" applyFont="1" applyFill="1" applyBorder="1"/>
    <xf numFmtId="169" fontId="3" fillId="4" borderId="3" xfId="0" applyNumberFormat="1" applyFont="1" applyFill="1" applyBorder="1"/>
    <xf numFmtId="0" fontId="15" fillId="0" borderId="0" xfId="0" applyFont="1"/>
    <xf numFmtId="0" fontId="0" fillId="7" borderId="0" xfId="0" applyFill="1"/>
    <xf numFmtId="0" fontId="15" fillId="7" borderId="0" xfId="0" applyFont="1" applyFill="1" applyBorder="1"/>
    <xf numFmtId="9" fontId="20" fillId="8" borderId="31" xfId="3" applyFont="1" applyFill="1" applyBorder="1"/>
    <xf numFmtId="9" fontId="20" fillId="8" borderId="30" xfId="0" applyNumberFormat="1" applyFont="1" applyFill="1" applyBorder="1"/>
    <xf numFmtId="0" fontId="20" fillId="8" borderId="30" xfId="0" applyFont="1" applyFill="1" applyBorder="1"/>
    <xf numFmtId="0" fontId="15" fillId="0" borderId="30" xfId="0" applyFont="1" applyBorder="1"/>
    <xf numFmtId="0" fontId="15" fillId="3" borderId="30" xfId="0" applyFont="1" applyFill="1" applyBorder="1"/>
    <xf numFmtId="2" fontId="17" fillId="6" borderId="30" xfId="0" applyNumberFormat="1" applyFont="1" applyFill="1" applyBorder="1"/>
    <xf numFmtId="9" fontId="15" fillId="3" borderId="30" xfId="3" applyFont="1" applyFill="1" applyBorder="1"/>
    <xf numFmtId="0" fontId="15" fillId="3" borderId="31" xfId="0" applyFont="1" applyFill="1" applyBorder="1"/>
    <xf numFmtId="168" fontId="15" fillId="3" borderId="30" xfId="3" applyNumberFormat="1" applyFont="1" applyFill="1" applyBorder="1"/>
    <xf numFmtId="9" fontId="15" fillId="6" borderId="30" xfId="3" applyFont="1" applyFill="1" applyBorder="1"/>
    <xf numFmtId="0" fontId="15" fillId="6" borderId="30" xfId="0" applyFont="1" applyFill="1" applyBorder="1"/>
    <xf numFmtId="2" fontId="15" fillId="3" borderId="30" xfId="0" applyNumberFormat="1" applyFont="1" applyFill="1" applyBorder="1"/>
    <xf numFmtId="2" fontId="15" fillId="3" borderId="31" xfId="0" applyNumberFormat="1" applyFont="1" applyFill="1" applyBorder="1"/>
    <xf numFmtId="9" fontId="15" fillId="3" borderId="30" xfId="0" applyNumberFormat="1" applyFont="1" applyFill="1" applyBorder="1"/>
    <xf numFmtId="0" fontId="17" fillId="5" borderId="30" xfId="0" applyFont="1" applyFill="1" applyBorder="1"/>
    <xf numFmtId="0" fontId="17" fillId="5" borderId="31" xfId="0" applyFont="1" applyFill="1" applyBorder="1"/>
    <xf numFmtId="9" fontId="20" fillId="8" borderId="28" xfId="3" applyFont="1" applyFill="1" applyBorder="1"/>
    <xf numFmtId="169" fontId="20" fillId="8" borderId="31" xfId="0" applyNumberFormat="1" applyFont="1" applyFill="1" applyBorder="1"/>
    <xf numFmtId="0" fontId="20" fillId="8" borderId="31" xfId="0" applyFont="1" applyFill="1" applyBorder="1"/>
    <xf numFmtId="169" fontId="20" fillId="8" borderId="47" xfId="0" applyNumberFormat="1" applyFont="1" applyFill="1" applyBorder="1"/>
    <xf numFmtId="0" fontId="17" fillId="5" borderId="39" xfId="0" applyFont="1" applyFill="1" applyBorder="1"/>
    <xf numFmtId="0" fontId="17" fillId="5" borderId="40" xfId="0" applyFont="1" applyFill="1" applyBorder="1"/>
    <xf numFmtId="0" fontId="0" fillId="7" borderId="0" xfId="0" applyFill="1" applyBorder="1" applyAlignment="1">
      <alignment horizontal="center"/>
    </xf>
    <xf numFmtId="0" fontId="15" fillId="7" borderId="0" xfId="0" applyFont="1" applyFill="1"/>
    <xf numFmtId="0" fontId="0" fillId="0" borderId="0" xfId="0" applyFill="1"/>
    <xf numFmtId="0" fontId="15" fillId="0" borderId="0" xfId="0" applyFont="1" applyFill="1"/>
    <xf numFmtId="0" fontId="15" fillId="5" borderId="51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52" xfId="0" applyFont="1" applyFill="1" applyBorder="1" applyAlignment="1">
      <alignment horizontal="center"/>
    </xf>
    <xf numFmtId="167" fontId="15" fillId="5" borderId="53" xfId="0" applyNumberFormat="1" applyFont="1" applyFill="1" applyBorder="1" applyAlignment="1">
      <alignment horizontal="center" vertical="top"/>
    </xf>
    <xf numFmtId="167" fontId="15" fillId="5" borderId="54" xfId="0" applyNumberFormat="1" applyFont="1" applyFill="1" applyBorder="1" applyAlignment="1">
      <alignment horizontal="center" vertical="top"/>
    </xf>
    <xf numFmtId="167" fontId="15" fillId="5" borderId="55" xfId="0" applyNumberFormat="1" applyFont="1" applyFill="1" applyBorder="1" applyAlignment="1">
      <alignment horizontal="center" vertical="top"/>
    </xf>
    <xf numFmtId="0" fontId="0" fillId="9" borderId="0" xfId="0" applyFill="1" applyBorder="1" applyAlignment="1">
      <alignment horizontal="center"/>
    </xf>
    <xf numFmtId="0" fontId="0" fillId="9" borderId="23" xfId="0" applyFill="1" applyBorder="1"/>
    <xf numFmtId="0" fontId="15" fillId="9" borderId="49" xfId="0" applyFont="1" applyFill="1" applyBorder="1"/>
    <xf numFmtId="0" fontId="15" fillId="9" borderId="25" xfId="0" applyFont="1" applyFill="1" applyBorder="1"/>
    <xf numFmtId="0" fontId="15" fillId="9" borderId="22" xfId="0" applyFont="1" applyFill="1" applyBorder="1"/>
    <xf numFmtId="0" fontId="15" fillId="9" borderId="50" xfId="0" applyFont="1" applyFill="1" applyBorder="1"/>
    <xf numFmtId="0" fontId="0" fillId="9" borderId="21" xfId="0" applyFill="1" applyBorder="1"/>
    <xf numFmtId="0" fontId="0" fillId="9" borderId="50" xfId="0" applyFill="1" applyBorder="1"/>
    <xf numFmtId="0" fontId="0" fillId="9" borderId="18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20" fillId="9" borderId="49" xfId="0" applyFont="1" applyFill="1" applyBorder="1" applyAlignment="1">
      <alignment horizontal="center"/>
    </xf>
    <xf numFmtId="0" fontId="21" fillId="7" borderId="0" xfId="0" applyFont="1" applyFill="1" applyBorder="1" applyAlignment="1">
      <alignment horizontal="left" vertical="center"/>
    </xf>
    <xf numFmtId="0" fontId="21" fillId="7" borderId="24" xfId="0" applyFont="1" applyFill="1" applyBorder="1" applyAlignment="1">
      <alignment horizontal="left" vertical="center"/>
    </xf>
    <xf numFmtId="0" fontId="20" fillId="9" borderId="0" xfId="0" applyFont="1" applyFill="1" applyBorder="1" applyAlignment="1">
      <alignment horizontal="center"/>
    </xf>
    <xf numFmtId="0" fontId="17" fillId="5" borderId="38" xfId="0" applyFont="1" applyFill="1" applyBorder="1" applyAlignment="1">
      <alignment horizontal="left" vertical="center"/>
    </xf>
    <xf numFmtId="0" fontId="17" fillId="5" borderId="39" xfId="0" applyFont="1" applyFill="1" applyBorder="1" applyAlignment="1">
      <alignment horizontal="left" vertical="center"/>
    </xf>
    <xf numFmtId="0" fontId="17" fillId="5" borderId="29" xfId="0" applyFont="1" applyFill="1" applyBorder="1" applyAlignment="1">
      <alignment horizontal="left" vertical="center"/>
    </xf>
    <xf numFmtId="0" fontId="17" fillId="5" borderId="30" xfId="0" applyFont="1" applyFill="1" applyBorder="1" applyAlignment="1">
      <alignment horizontal="left" vertical="center"/>
    </xf>
    <xf numFmtId="0" fontId="20" fillId="8" borderId="27" xfId="0" applyFont="1" applyFill="1" applyBorder="1" applyAlignment="1">
      <alignment horizontal="center"/>
    </xf>
    <xf numFmtId="0" fontId="20" fillId="8" borderId="28" xfId="0" applyFont="1" applyFill="1" applyBorder="1" applyAlignment="1">
      <alignment horizontal="center"/>
    </xf>
    <xf numFmtId="14" fontId="14" fillId="7" borderId="33" xfId="0" applyNumberFormat="1" applyFont="1" applyFill="1" applyBorder="1" applyAlignment="1">
      <alignment horizontal="center"/>
    </xf>
    <xf numFmtId="14" fontId="14" fillId="7" borderId="34" xfId="0" applyNumberFormat="1" applyFont="1" applyFill="1" applyBorder="1" applyAlignment="1">
      <alignment horizontal="center"/>
    </xf>
    <xf numFmtId="0" fontId="14" fillId="9" borderId="44" xfId="0" applyFont="1" applyFill="1" applyBorder="1" applyAlignment="1">
      <alignment horizontal="center"/>
    </xf>
    <xf numFmtId="0" fontId="14" fillId="9" borderId="45" xfId="0" applyFont="1" applyFill="1" applyBorder="1" applyAlignment="1">
      <alignment horizontal="center"/>
    </xf>
    <xf numFmtId="0" fontId="14" fillId="9" borderId="42" xfId="0" applyFont="1" applyFill="1" applyBorder="1" applyAlignment="1">
      <alignment horizontal="center"/>
    </xf>
    <xf numFmtId="0" fontId="15" fillId="9" borderId="0" xfId="0" applyFont="1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/>
    </xf>
    <xf numFmtId="0" fontId="10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20" fillId="11" borderId="26" xfId="0" applyFont="1" applyFill="1" applyBorder="1"/>
    <xf numFmtId="0" fontId="20" fillId="11" borderId="32" xfId="0" applyFont="1" applyFill="1" applyBorder="1"/>
    <xf numFmtId="0" fontId="20" fillId="11" borderId="36" xfId="0" applyFont="1" applyFill="1" applyBorder="1" applyAlignment="1">
      <alignment horizontal="left"/>
    </xf>
    <xf numFmtId="0" fontId="20" fillId="11" borderId="27" xfId="0" applyFont="1" applyFill="1" applyBorder="1" applyAlignment="1">
      <alignment horizontal="left"/>
    </xf>
    <xf numFmtId="0" fontId="20" fillId="11" borderId="35" xfId="0" applyFont="1" applyFill="1" applyBorder="1" applyAlignment="1">
      <alignment horizontal="left"/>
    </xf>
    <xf numFmtId="0" fontId="20" fillId="11" borderId="30" xfId="0" applyFont="1" applyFill="1" applyBorder="1" applyAlignment="1">
      <alignment horizontal="left"/>
    </xf>
    <xf numFmtId="0" fontId="20" fillId="11" borderId="37" xfId="0" applyFont="1" applyFill="1" applyBorder="1" applyAlignment="1">
      <alignment horizontal="left"/>
    </xf>
    <xf numFmtId="0" fontId="20" fillId="11" borderId="33" xfId="0" applyFont="1" applyFill="1" applyBorder="1" applyAlignment="1">
      <alignment horizontal="left"/>
    </xf>
    <xf numFmtId="0" fontId="20" fillId="11" borderId="29" xfId="0" applyFont="1" applyFill="1" applyBorder="1"/>
    <xf numFmtId="0" fontId="20" fillId="11" borderId="26" xfId="0" applyFont="1" applyFill="1" applyBorder="1" applyAlignment="1">
      <alignment horizontal="left" vertical="center" wrapText="1"/>
    </xf>
    <xf numFmtId="0" fontId="20" fillId="11" borderId="27" xfId="0" applyFont="1" applyFill="1" applyBorder="1" applyAlignment="1">
      <alignment horizontal="left" vertical="center" wrapText="1"/>
    </xf>
    <xf numFmtId="0" fontId="20" fillId="11" borderId="28" xfId="0" applyFont="1" applyFill="1" applyBorder="1" applyAlignment="1">
      <alignment horizontal="left" vertical="center" wrapText="1"/>
    </xf>
    <xf numFmtId="0" fontId="20" fillId="11" borderId="32" xfId="0" applyFont="1" applyFill="1" applyBorder="1" applyAlignment="1">
      <alignment horizontal="left" vertical="center" wrapText="1"/>
    </xf>
    <xf numFmtId="0" fontId="20" fillId="11" borderId="33" xfId="0" applyFont="1" applyFill="1" applyBorder="1" applyAlignment="1">
      <alignment horizontal="left" vertical="center" wrapText="1"/>
    </xf>
    <xf numFmtId="0" fontId="20" fillId="11" borderId="34" xfId="0" applyFont="1" applyFill="1" applyBorder="1" applyAlignment="1">
      <alignment horizontal="left" vertical="center" wrapText="1"/>
    </xf>
    <xf numFmtId="0" fontId="20" fillId="11" borderId="46" xfId="0" applyFont="1" applyFill="1" applyBorder="1"/>
    <xf numFmtId="9" fontId="22" fillId="8" borderId="27" xfId="3" applyFont="1" applyFill="1" applyBorder="1"/>
    <xf numFmtId="9" fontId="22" fillId="8" borderId="30" xfId="3" applyFont="1" applyFill="1" applyBorder="1"/>
    <xf numFmtId="10" fontId="22" fillId="8" borderId="30" xfId="3" applyNumberFormat="1" applyFont="1" applyFill="1" applyBorder="1"/>
    <xf numFmtId="0" fontId="22" fillId="8" borderId="30" xfId="0" applyFont="1" applyFill="1" applyBorder="1"/>
    <xf numFmtId="168" fontId="22" fillId="8" borderId="30" xfId="0" applyNumberFormat="1" applyFont="1" applyFill="1" applyBorder="1"/>
    <xf numFmtId="164" fontId="17" fillId="9" borderId="31" xfId="0" applyNumberFormat="1" applyFont="1" applyFill="1" applyBorder="1"/>
    <xf numFmtId="164" fontId="17" fillId="10" borderId="31" xfId="0" applyNumberFormat="1" applyFont="1" applyFill="1" applyBorder="1"/>
    <xf numFmtId="10" fontId="17" fillId="10" borderId="47" xfId="0" applyNumberFormat="1" applyFont="1" applyFill="1" applyBorder="1"/>
    <xf numFmtId="2" fontId="15" fillId="10" borderId="30" xfId="0" applyNumberFormat="1" applyFont="1" applyFill="1" applyBorder="1"/>
    <xf numFmtId="166" fontId="15" fillId="10" borderId="30" xfId="0" applyNumberFormat="1" applyFont="1" applyFill="1" applyBorder="1"/>
    <xf numFmtId="0" fontId="14" fillId="12" borderId="44" xfId="0" applyFont="1" applyFill="1" applyBorder="1" applyAlignment="1">
      <alignment horizontal="center"/>
    </xf>
    <xf numFmtId="0" fontId="14" fillId="12" borderId="45" xfId="0" applyFont="1" applyFill="1" applyBorder="1" applyAlignment="1">
      <alignment horizontal="center"/>
    </xf>
    <xf numFmtId="0" fontId="14" fillId="12" borderId="42" xfId="0" applyFont="1" applyFill="1" applyBorder="1" applyAlignment="1">
      <alignment horizontal="center"/>
    </xf>
    <xf numFmtId="0" fontId="24" fillId="12" borderId="44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/>
    </xf>
    <xf numFmtId="0" fontId="19" fillId="12" borderId="19" xfId="0" applyFont="1" applyFill="1" applyBorder="1" applyAlignment="1">
      <alignment horizontal="center"/>
    </xf>
    <xf numFmtId="0" fontId="19" fillId="12" borderId="20" xfId="0" applyFont="1" applyFill="1" applyBorder="1" applyAlignment="1">
      <alignment horizontal="center"/>
    </xf>
    <xf numFmtId="0" fontId="15" fillId="9" borderId="27" xfId="0" applyFont="1" applyFill="1" applyBorder="1"/>
    <xf numFmtId="0" fontId="15" fillId="9" borderId="30" xfId="0" applyFont="1" applyFill="1" applyBorder="1"/>
    <xf numFmtId="0" fontId="14" fillId="9" borderId="33" xfId="0" applyFont="1" applyFill="1" applyBorder="1"/>
    <xf numFmtId="0" fontId="15" fillId="9" borderId="33" xfId="0" applyFont="1" applyFill="1" applyBorder="1"/>
    <xf numFmtId="0" fontId="14" fillId="9" borderId="28" xfId="0" applyFont="1" applyFill="1" applyBorder="1"/>
    <xf numFmtId="0" fontId="14" fillId="9" borderId="31" xfId="0" applyFont="1" applyFill="1" applyBorder="1"/>
    <xf numFmtId="0" fontId="16" fillId="9" borderId="31" xfId="0" applyFont="1" applyFill="1" applyBorder="1"/>
    <xf numFmtId="0" fontId="16" fillId="9" borderId="30" xfId="0" applyFont="1" applyFill="1" applyBorder="1"/>
    <xf numFmtId="0" fontId="16" fillId="9" borderId="33" xfId="0" applyFont="1" applyFill="1" applyBorder="1"/>
    <xf numFmtId="0" fontId="14" fillId="9" borderId="27" xfId="0" applyFont="1" applyFill="1" applyBorder="1"/>
    <xf numFmtId="0" fontId="14" fillId="9" borderId="30" xfId="0" applyFont="1" applyFill="1" applyBorder="1"/>
    <xf numFmtId="0" fontId="14" fillId="9" borderId="43" xfId="0" applyFont="1" applyFill="1" applyBorder="1"/>
    <xf numFmtId="0" fontId="17" fillId="9" borderId="39" xfId="0" applyFont="1" applyFill="1" applyBorder="1" applyAlignment="1"/>
    <xf numFmtId="10" fontId="17" fillId="9" borderId="39" xfId="3" applyNumberFormat="1" applyFont="1" applyFill="1" applyBorder="1"/>
    <xf numFmtId="0" fontId="17" fillId="9" borderId="39" xfId="0" applyFont="1" applyFill="1" applyBorder="1"/>
    <xf numFmtId="0" fontId="17" fillId="9" borderId="40" xfId="0" applyFont="1" applyFill="1" applyBorder="1"/>
    <xf numFmtId="0" fontId="15" fillId="9" borderId="29" xfId="0" applyFont="1" applyFill="1" applyBorder="1"/>
    <xf numFmtId="164" fontId="15" fillId="9" borderId="30" xfId="0" applyNumberFormat="1" applyFont="1" applyFill="1" applyBorder="1"/>
    <xf numFmtId="166" fontId="15" fillId="9" borderId="31" xfId="0" applyNumberFormat="1" applyFont="1" applyFill="1" applyBorder="1"/>
    <xf numFmtId="167" fontId="15" fillId="9" borderId="30" xfId="2" applyNumberFormat="1" applyFont="1" applyFill="1" applyBorder="1"/>
    <xf numFmtId="164" fontId="15" fillId="9" borderId="31" xfId="0" applyNumberFormat="1" applyFont="1" applyFill="1" applyBorder="1"/>
    <xf numFmtId="0" fontId="15" fillId="9" borderId="32" xfId="0" applyFont="1" applyFill="1" applyBorder="1"/>
    <xf numFmtId="0" fontId="18" fillId="9" borderId="33" xfId="0" applyFont="1" applyFill="1" applyBorder="1"/>
    <xf numFmtId="166" fontId="15" fillId="9" borderId="41" xfId="0" applyNumberFormat="1" applyFont="1" applyFill="1" applyBorder="1" applyAlignment="1">
      <alignment horizontal="right"/>
    </xf>
    <xf numFmtId="166" fontId="15" fillId="9" borderId="48" xfId="0" applyNumberFormat="1" applyFont="1" applyFill="1" applyBorder="1" applyAlignment="1">
      <alignment horizontal="right"/>
    </xf>
    <xf numFmtId="0" fontId="15" fillId="9" borderId="43" xfId="0" applyFont="1" applyFill="1" applyBorder="1"/>
    <xf numFmtId="166" fontId="15" fillId="9" borderId="31" xfId="0" applyNumberFormat="1" applyFont="1" applyFill="1" applyBorder="1" applyAlignment="1"/>
    <xf numFmtId="174" fontId="15" fillId="9" borderId="31" xfId="0" applyNumberFormat="1" applyFont="1" applyFill="1" applyBorder="1"/>
    <xf numFmtId="0" fontId="15" fillId="9" borderId="31" xfId="0" applyFont="1" applyFill="1" applyBorder="1"/>
    <xf numFmtId="2" fontId="15" fillId="9" borderId="30" xfId="0" applyNumberFormat="1" applyFont="1" applyFill="1" applyBorder="1"/>
    <xf numFmtId="166" fontId="15" fillId="9" borderId="31" xfId="1" applyFont="1" applyFill="1" applyBorder="1"/>
    <xf numFmtId="10" fontId="15" fillId="9" borderId="31" xfId="0" applyNumberFormat="1" applyFont="1" applyFill="1" applyBorder="1"/>
    <xf numFmtId="164" fontId="17" fillId="9" borderId="30" xfId="0" applyNumberFormat="1" applyFont="1" applyFill="1" applyBorder="1"/>
    <xf numFmtId="173" fontId="15" fillId="9" borderId="30" xfId="1" applyNumberFormat="1" applyFont="1" applyFill="1" applyBorder="1"/>
    <xf numFmtId="173" fontId="15" fillId="9" borderId="31" xfId="1" applyNumberFormat="1" applyFont="1" applyFill="1" applyBorder="1"/>
    <xf numFmtId="171" fontId="15" fillId="9" borderId="30" xfId="0" applyNumberFormat="1" applyFont="1" applyFill="1" applyBorder="1"/>
    <xf numFmtId="1" fontId="15" fillId="9" borderId="30" xfId="0" applyNumberFormat="1" applyFont="1" applyFill="1" applyBorder="1"/>
    <xf numFmtId="172" fontId="15" fillId="9" borderId="30" xfId="0" applyNumberFormat="1" applyFont="1" applyFill="1" applyBorder="1"/>
    <xf numFmtId="10" fontId="15" fillId="9" borderId="30" xfId="3" applyNumberFormat="1" applyFont="1" applyFill="1" applyBorder="1"/>
    <xf numFmtId="9" fontId="15" fillId="9" borderId="30" xfId="0" applyNumberFormat="1" applyFont="1" applyFill="1" applyBorder="1"/>
    <xf numFmtId="170" fontId="15" fillId="9" borderId="30" xfId="0" applyNumberFormat="1" applyFont="1" applyFill="1" applyBorder="1"/>
    <xf numFmtId="0" fontId="17" fillId="9" borderId="31" xfId="0" applyFont="1" applyFill="1" applyBorder="1"/>
    <xf numFmtId="0" fontId="17" fillId="9" borderId="28" xfId="0" applyFont="1" applyFill="1" applyBorder="1"/>
    <xf numFmtId="0" fontId="17" fillId="9" borderId="27" xfId="0" applyFont="1" applyFill="1" applyBorder="1"/>
    <xf numFmtId="0" fontId="18" fillId="9" borderId="27" xfId="0" applyFont="1" applyFill="1" applyBorder="1"/>
    <xf numFmtId="0" fontId="17" fillId="11" borderId="26" xfId="0" applyFont="1" applyFill="1" applyBorder="1"/>
    <xf numFmtId="0" fontId="15" fillId="11" borderId="29" xfId="0" applyFont="1" applyFill="1" applyBorder="1"/>
    <xf numFmtId="0" fontId="17" fillId="11" borderId="29" xfId="0" applyFont="1" applyFill="1" applyBorder="1"/>
    <xf numFmtId="0" fontId="15" fillId="11" borderId="46" xfId="0" applyFont="1" applyFill="1" applyBorder="1"/>
    <xf numFmtId="0" fontId="17" fillId="11" borderId="38" xfId="0" applyFont="1" applyFill="1" applyBorder="1" applyAlignment="1"/>
    <xf numFmtId="0" fontId="15" fillId="11" borderId="38" xfId="0" applyFont="1" applyFill="1" applyBorder="1"/>
    <xf numFmtId="0" fontId="17" fillId="11" borderId="46" xfId="0" applyFont="1" applyFill="1" applyBorder="1"/>
    <xf numFmtId="2" fontId="15" fillId="9" borderId="31" xfId="0" applyNumberFormat="1" applyFont="1" applyFill="1" applyBorder="1"/>
    <xf numFmtId="166" fontId="15" fillId="9" borderId="30" xfId="0" applyNumberFormat="1" applyFont="1" applyFill="1" applyBorder="1"/>
    <xf numFmtId="164" fontId="15" fillId="9" borderId="43" xfId="0" applyNumberFormat="1" applyFont="1" applyFill="1" applyBorder="1"/>
    <xf numFmtId="164" fontId="15" fillId="9" borderId="47" xfId="0" applyNumberFormat="1" applyFont="1" applyFill="1" applyBorder="1"/>
    <xf numFmtId="0" fontId="15" fillId="9" borderId="39" xfId="0" applyFont="1" applyFill="1" applyBorder="1"/>
    <xf numFmtId="0" fontId="15" fillId="9" borderId="40" xfId="0" applyFont="1" applyFill="1" applyBorder="1"/>
    <xf numFmtId="166" fontId="15" fillId="9" borderId="39" xfId="0" applyNumberFormat="1" applyFont="1" applyFill="1" applyBorder="1"/>
    <xf numFmtId="166" fontId="15" fillId="9" borderId="40" xfId="0" applyNumberFormat="1" applyFont="1" applyFill="1" applyBorder="1"/>
    <xf numFmtId="166" fontId="15" fillId="9" borderId="30" xfId="0" applyNumberFormat="1" applyFont="1" applyFill="1" applyBorder="1"/>
    <xf numFmtId="166" fontId="15" fillId="9" borderId="31" xfId="0" applyNumberFormat="1" applyFont="1" applyFill="1" applyBorder="1"/>
    <xf numFmtId="166" fontId="15" fillId="9" borderId="30" xfId="1" applyFont="1" applyFill="1" applyBorder="1"/>
    <xf numFmtId="166" fontId="15" fillId="9" borderId="31" xfId="1" applyFont="1" applyFill="1" applyBorder="1"/>
    <xf numFmtId="166" fontId="15" fillId="9" borderId="30" xfId="0" applyNumberFormat="1" applyFont="1" applyFill="1" applyBorder="1" applyAlignment="1">
      <alignment horizontal="center"/>
    </xf>
    <xf numFmtId="166" fontId="15" fillId="9" borderId="31" xfId="0" applyNumberFormat="1" applyFont="1" applyFill="1" applyBorder="1" applyAlignment="1">
      <alignment horizontal="center"/>
    </xf>
    <xf numFmtId="9" fontId="15" fillId="9" borderId="43" xfId="0" applyNumberFormat="1" applyFont="1" applyFill="1" applyBorder="1"/>
    <xf numFmtId="166" fontId="15" fillId="9" borderId="43" xfId="0" applyNumberFormat="1" applyFont="1" applyFill="1" applyBorder="1"/>
    <xf numFmtId="166" fontId="15" fillId="9" borderId="47" xfId="0" applyNumberFormat="1" applyFont="1" applyFill="1" applyBorder="1"/>
    <xf numFmtId="0" fontId="15" fillId="11" borderId="32" xfId="0" applyFont="1" applyFill="1" applyBorder="1"/>
    <xf numFmtId="167" fontId="15" fillId="9" borderId="31" xfId="0" applyNumberFormat="1" applyFont="1" applyFill="1" applyBorder="1"/>
    <xf numFmtId="9" fontId="15" fillId="9" borderId="31" xfId="0" applyNumberFormat="1" applyFont="1" applyFill="1" applyBorder="1"/>
    <xf numFmtId="9" fontId="15" fillId="9" borderId="34" xfId="0" applyNumberFormat="1" applyFont="1" applyFill="1" applyBorder="1"/>
    <xf numFmtId="9" fontId="22" fillId="8" borderId="31" xfId="3" applyFont="1" applyFill="1" applyBorder="1"/>
    <xf numFmtId="1" fontId="22" fillId="8" borderId="31" xfId="3" applyNumberFormat="1" applyFont="1" applyFill="1" applyBorder="1"/>
    <xf numFmtId="169" fontId="22" fillId="8" borderId="31" xfId="0" applyNumberFormat="1" applyFont="1" applyFill="1" applyBorder="1"/>
    <xf numFmtId="170" fontId="22" fillId="8" borderId="31" xfId="0" applyNumberFormat="1" applyFont="1" applyFill="1" applyBorder="1"/>
    <xf numFmtId="9" fontId="23" fillId="8" borderId="34" xfId="0" applyNumberFormat="1" applyFont="1" applyFill="1" applyBorder="1"/>
    <xf numFmtId="1" fontId="23" fillId="8" borderId="31" xfId="0" applyNumberFormat="1" applyFont="1" applyFill="1" applyBorder="1" applyAlignment="1">
      <alignment horizontal="right"/>
    </xf>
    <xf numFmtId="173" fontId="23" fillId="8" borderId="31" xfId="1" applyNumberFormat="1" applyFont="1" applyFill="1" applyBorder="1" applyAlignment="1">
      <alignment horizontal="right"/>
    </xf>
    <xf numFmtId="2" fontId="23" fillId="8" borderId="31" xfId="0" applyNumberFormat="1" applyFont="1" applyFill="1" applyBorder="1" applyAlignment="1">
      <alignment horizontal="right"/>
    </xf>
    <xf numFmtId="10" fontId="23" fillId="8" borderId="31" xfId="0" applyNumberFormat="1" applyFont="1" applyFill="1" applyBorder="1" applyAlignment="1">
      <alignment horizontal="right"/>
    </xf>
    <xf numFmtId="173" fontId="23" fillId="8" borderId="41" xfId="1" applyNumberFormat="1" applyFont="1" applyFill="1" applyBorder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BB404"/>
      <color rgb="FFD7F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0</xdr:row>
      <xdr:rowOff>133350</xdr:rowOff>
    </xdr:from>
    <xdr:to>
      <xdr:col>9</xdr:col>
      <xdr:colOff>1005542</xdr:colOff>
      <xdr:row>1</xdr:row>
      <xdr:rowOff>546208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66457D-C071-48C1-8066-7B1860F27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4225" y="133350"/>
          <a:ext cx="2462867" cy="5747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dcalculator_fre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"/>
      <sheetName val="Quick Start"/>
      <sheetName val="Monthly Payment"/>
      <sheetName val="Internals"/>
      <sheetName val="Amortization Schedule"/>
      <sheetName val="Loan Comparison"/>
      <sheetName val="Future Values"/>
      <sheetName val="Disclaimer"/>
      <sheetName val="calcs"/>
    </sheetNames>
    <sheetDataSet>
      <sheetData sheetId="0" refreshError="1"/>
      <sheetData sheetId="1" refreshError="1"/>
      <sheetData sheetId="2" refreshError="1"/>
      <sheetData sheetId="3">
        <row r="4">
          <cell r="D4" t="b">
            <v>0</v>
          </cell>
        </row>
        <row r="5">
          <cell r="D5" t="b">
            <v>0</v>
          </cell>
        </row>
        <row r="6">
          <cell r="D6" t="b">
            <v>0</v>
          </cell>
        </row>
        <row r="7">
          <cell r="D7" t="b">
            <v>0</v>
          </cell>
        </row>
        <row r="8">
          <cell r="D8" t="b">
            <v>0</v>
          </cell>
        </row>
        <row r="9">
          <cell r="D9" t="b">
            <v>0</v>
          </cell>
        </row>
        <row r="10">
          <cell r="D10" t="b">
            <v>0</v>
          </cell>
        </row>
        <row r="11">
          <cell r="D11" t="b">
            <v>0</v>
          </cell>
        </row>
        <row r="12">
          <cell r="D12" t="b">
            <v>0</v>
          </cell>
        </row>
        <row r="13">
          <cell r="D13" t="b">
            <v>0</v>
          </cell>
        </row>
        <row r="14">
          <cell r="D14" t="b">
            <v>0</v>
          </cell>
        </row>
        <row r="15">
          <cell r="D15" t="b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7"/>
  <sheetViews>
    <sheetView tabSelected="1" topLeftCell="A5" zoomScaleNormal="100" workbookViewId="0">
      <selection activeCell="F13" sqref="F13:J18"/>
    </sheetView>
  </sheetViews>
  <sheetFormatPr defaultColWidth="8.7109375" defaultRowHeight="12.75" x14ac:dyDescent="0.2"/>
  <cols>
    <col min="1" max="1" width="5" style="52" customWidth="1"/>
    <col min="2" max="2" width="3.140625" customWidth="1"/>
    <col min="3" max="3" width="35.140625" customWidth="1"/>
    <col min="4" max="4" width="10.140625" customWidth="1"/>
    <col min="5" max="5" width="14.7109375" customWidth="1"/>
    <col min="6" max="6" width="16.140625" customWidth="1"/>
    <col min="7" max="7" width="16.7109375" customWidth="1"/>
    <col min="8" max="8" width="16.28515625" customWidth="1"/>
    <col min="9" max="9" width="16.5703125" customWidth="1"/>
    <col min="10" max="10" width="15.7109375" customWidth="1"/>
    <col min="11" max="11" width="3.5703125" customWidth="1"/>
    <col min="12" max="12" width="3.5703125" style="78" customWidth="1"/>
    <col min="13" max="16" width="11.28515625" bestFit="1" customWidth="1"/>
  </cols>
  <sheetData>
    <row r="1" spans="2:19" ht="12.75" customHeight="1" x14ac:dyDescent="0.2">
      <c r="B1" s="52"/>
      <c r="C1" s="98" t="s">
        <v>132</v>
      </c>
      <c r="D1" s="98"/>
      <c r="E1" s="98"/>
      <c r="F1" s="98"/>
      <c r="G1" s="98"/>
      <c r="H1" s="98"/>
      <c r="I1" s="98"/>
      <c r="J1" s="98"/>
      <c r="K1" s="98"/>
      <c r="L1" s="52"/>
      <c r="M1" s="52"/>
      <c r="N1" s="52"/>
      <c r="O1" s="52"/>
      <c r="P1" s="52"/>
      <c r="Q1" s="52"/>
      <c r="R1" s="52"/>
      <c r="S1" s="52"/>
    </row>
    <row r="2" spans="2:19" ht="49.5" customHeight="1" thickBot="1" x14ac:dyDescent="0.25">
      <c r="B2" s="52"/>
      <c r="C2" s="99"/>
      <c r="D2" s="99"/>
      <c r="E2" s="99"/>
      <c r="F2" s="99"/>
      <c r="G2" s="99"/>
      <c r="H2" s="99"/>
      <c r="I2" s="99"/>
      <c r="J2" s="99"/>
      <c r="K2" s="99"/>
      <c r="L2" s="52"/>
      <c r="M2" s="52"/>
      <c r="N2" s="52"/>
      <c r="O2" s="52"/>
      <c r="P2" s="52"/>
      <c r="Q2" s="52"/>
      <c r="R2" s="52"/>
      <c r="S2" s="52"/>
    </row>
    <row r="3" spans="2:19" ht="15" customHeight="1" thickTop="1" thickBot="1" x14ac:dyDescent="0.25">
      <c r="B3" s="94"/>
      <c r="C3" s="95"/>
      <c r="D3" s="95"/>
      <c r="E3" s="95"/>
      <c r="F3" s="95"/>
      <c r="G3" s="95"/>
      <c r="H3" s="95"/>
      <c r="I3" s="95"/>
      <c r="J3" s="95"/>
      <c r="K3" s="96"/>
      <c r="L3" s="76"/>
      <c r="M3" s="52"/>
      <c r="N3" s="52"/>
      <c r="O3" s="52"/>
      <c r="P3" s="52"/>
      <c r="Q3" s="52"/>
      <c r="R3" s="52"/>
      <c r="S3" s="52"/>
    </row>
    <row r="4" spans="2:19" ht="13.5" thickTop="1" x14ac:dyDescent="0.2">
      <c r="B4" s="92"/>
      <c r="C4" s="116" t="s">
        <v>41</v>
      </c>
      <c r="D4" s="105" t="s">
        <v>129</v>
      </c>
      <c r="E4" s="105"/>
      <c r="F4" s="105"/>
      <c r="G4" s="105"/>
      <c r="H4" s="105"/>
      <c r="I4" s="105"/>
      <c r="J4" s="106"/>
      <c r="K4" s="90"/>
      <c r="L4" s="53"/>
      <c r="M4" s="77"/>
      <c r="N4" s="77"/>
      <c r="O4" s="77"/>
      <c r="P4" s="77"/>
      <c r="Q4" s="52"/>
      <c r="R4" s="52"/>
      <c r="S4" s="52"/>
    </row>
    <row r="5" spans="2:19" ht="13.5" thickBot="1" x14ac:dyDescent="0.25">
      <c r="B5" s="92"/>
      <c r="C5" s="117" t="s">
        <v>42</v>
      </c>
      <c r="D5" s="107"/>
      <c r="E5" s="107"/>
      <c r="F5" s="107"/>
      <c r="G5" s="107"/>
      <c r="H5" s="107"/>
      <c r="I5" s="107"/>
      <c r="J5" s="108"/>
      <c r="K5" s="90"/>
      <c r="L5" s="53"/>
      <c r="M5" s="77"/>
      <c r="N5" s="77"/>
      <c r="O5" s="77"/>
      <c r="P5" s="77"/>
      <c r="Q5" s="52"/>
      <c r="R5" s="52"/>
      <c r="S5" s="52"/>
    </row>
    <row r="6" spans="2:19" ht="14.25" thickTop="1" thickBot="1" x14ac:dyDescent="0.25">
      <c r="B6" s="92"/>
      <c r="C6" s="100"/>
      <c r="D6" s="100"/>
      <c r="E6" s="100"/>
      <c r="F6" s="100"/>
      <c r="G6" s="100"/>
      <c r="H6" s="100"/>
      <c r="I6" s="100"/>
      <c r="J6" s="100"/>
      <c r="K6" s="90"/>
      <c r="L6" s="53"/>
      <c r="M6" s="77"/>
      <c r="N6" s="77"/>
      <c r="O6" s="77"/>
      <c r="P6" s="77"/>
      <c r="Q6" s="52"/>
      <c r="R6" s="52"/>
      <c r="S6" s="52"/>
    </row>
    <row r="7" spans="2:19" ht="14.25" thickTop="1" thickBot="1" x14ac:dyDescent="0.25">
      <c r="B7" s="92"/>
      <c r="C7" s="142" t="s">
        <v>43</v>
      </c>
      <c r="D7" s="143"/>
      <c r="E7" s="143"/>
      <c r="F7" s="143"/>
      <c r="G7" s="143"/>
      <c r="H7" s="143"/>
      <c r="I7" s="143"/>
      <c r="J7" s="144"/>
      <c r="K7" s="90"/>
      <c r="L7" s="53"/>
      <c r="M7" s="77"/>
      <c r="N7" s="77"/>
      <c r="O7" s="77"/>
      <c r="P7" s="77"/>
      <c r="Q7" s="52"/>
      <c r="R7" s="52"/>
      <c r="S7" s="52"/>
    </row>
    <row r="8" spans="2:19" ht="13.5" thickTop="1" x14ac:dyDescent="0.2">
      <c r="B8" s="92"/>
      <c r="C8" s="116" t="s">
        <v>62</v>
      </c>
      <c r="D8" s="132">
        <v>0.75</v>
      </c>
      <c r="E8" s="153"/>
      <c r="F8" s="118" t="s">
        <v>63</v>
      </c>
      <c r="G8" s="119"/>
      <c r="H8" s="149"/>
      <c r="I8" s="149"/>
      <c r="J8" s="70">
        <v>0.28000000000000003</v>
      </c>
      <c r="K8" s="90"/>
      <c r="L8" s="53"/>
      <c r="M8" s="77"/>
      <c r="N8" s="77"/>
      <c r="O8" s="77"/>
      <c r="P8" s="77"/>
      <c r="Q8" s="52"/>
      <c r="R8" s="52"/>
      <c r="S8" s="52"/>
    </row>
    <row r="9" spans="2:19" x14ac:dyDescent="0.2">
      <c r="B9" s="92"/>
      <c r="C9" s="124" t="s">
        <v>64</v>
      </c>
      <c r="D9" s="133">
        <v>0.05</v>
      </c>
      <c r="E9" s="154"/>
      <c r="F9" s="120" t="s">
        <v>65</v>
      </c>
      <c r="G9" s="121"/>
      <c r="H9" s="150"/>
      <c r="I9" s="150"/>
      <c r="J9" s="54">
        <v>0.28000000000000003</v>
      </c>
      <c r="K9" s="90"/>
      <c r="L9" s="53"/>
      <c r="M9" s="77"/>
      <c r="N9" s="77"/>
      <c r="O9" s="77"/>
      <c r="P9" s="77"/>
      <c r="Q9" s="52"/>
      <c r="R9" s="52"/>
      <c r="S9" s="52"/>
    </row>
    <row r="10" spans="2:19" x14ac:dyDescent="0.2">
      <c r="B10" s="92"/>
      <c r="C10" s="124" t="s">
        <v>66</v>
      </c>
      <c r="D10" s="134">
        <v>5.2499999999999998E-2</v>
      </c>
      <c r="E10" s="154"/>
      <c r="F10" s="120" t="s">
        <v>67</v>
      </c>
      <c r="G10" s="121"/>
      <c r="H10" s="150"/>
      <c r="I10" s="150"/>
      <c r="J10" s="222">
        <v>0.1</v>
      </c>
      <c r="K10" s="90"/>
      <c r="L10" s="53"/>
      <c r="M10" s="77"/>
      <c r="N10" s="77"/>
      <c r="O10" s="77"/>
      <c r="P10" s="77"/>
      <c r="Q10" s="52"/>
      <c r="R10" s="52"/>
      <c r="S10" s="52"/>
    </row>
    <row r="11" spans="2:19" x14ac:dyDescent="0.2">
      <c r="B11" s="92"/>
      <c r="C11" s="124" t="s">
        <v>54</v>
      </c>
      <c r="D11" s="135">
        <v>10</v>
      </c>
      <c r="E11" s="154"/>
      <c r="F11" s="120" t="s">
        <v>55</v>
      </c>
      <c r="G11" s="121"/>
      <c r="H11" s="150"/>
      <c r="I11" s="150"/>
      <c r="J11" s="223">
        <v>8918</v>
      </c>
      <c r="K11" s="90"/>
      <c r="L11" s="53"/>
      <c r="M11" s="77"/>
      <c r="N11" s="77"/>
      <c r="O11" s="77"/>
      <c r="P11" s="77"/>
      <c r="Q11" s="52"/>
      <c r="R11" s="52"/>
      <c r="S11" s="52"/>
    </row>
    <row r="12" spans="2:19" ht="13.5" thickBot="1" x14ac:dyDescent="0.25">
      <c r="B12" s="92"/>
      <c r="C12" s="124" t="s">
        <v>17</v>
      </c>
      <c r="D12" s="136">
        <v>0.1</v>
      </c>
      <c r="E12" s="154"/>
      <c r="F12" s="122" t="s">
        <v>60</v>
      </c>
      <c r="G12" s="123"/>
      <c r="H12" s="151"/>
      <c r="I12" s="152"/>
      <c r="J12" s="226">
        <f>J55/E27</f>
        <v>9.3398098499774665E-2</v>
      </c>
      <c r="K12" s="90"/>
      <c r="L12" s="53"/>
      <c r="M12" s="77"/>
      <c r="N12" s="77"/>
      <c r="O12" s="77"/>
      <c r="P12" s="77"/>
      <c r="Q12" s="52"/>
      <c r="R12" s="52"/>
      <c r="S12" s="52"/>
    </row>
    <row r="13" spans="2:19" ht="13.9" customHeight="1" thickTop="1" x14ac:dyDescent="0.2">
      <c r="B13" s="92"/>
      <c r="C13" s="124" t="s">
        <v>131</v>
      </c>
      <c r="D13" s="156"/>
      <c r="E13" s="155"/>
      <c r="F13" s="112"/>
      <c r="G13" s="112"/>
      <c r="H13" s="112"/>
      <c r="I13" s="112"/>
      <c r="J13" s="112"/>
      <c r="K13" s="90"/>
      <c r="L13" s="53"/>
      <c r="M13" s="77"/>
      <c r="N13" s="77"/>
      <c r="O13" s="77"/>
      <c r="P13" s="77"/>
      <c r="Q13" s="52"/>
      <c r="R13" s="52"/>
      <c r="S13" s="52"/>
    </row>
    <row r="14" spans="2:19" ht="17.25" customHeight="1" x14ac:dyDescent="0.2">
      <c r="B14" s="92"/>
      <c r="C14" s="124" t="s">
        <v>56</v>
      </c>
      <c r="D14" s="156"/>
      <c r="E14" s="227">
        <f>E22/J11</f>
        <v>44.853106077595875</v>
      </c>
      <c r="F14" s="112"/>
      <c r="G14" s="112"/>
      <c r="H14" s="112"/>
      <c r="I14" s="112"/>
      <c r="J14" s="112"/>
      <c r="K14" s="90"/>
      <c r="L14" s="53"/>
      <c r="M14" s="77"/>
      <c r="N14" s="77"/>
      <c r="O14" s="77"/>
      <c r="P14" s="77"/>
      <c r="Q14" s="52"/>
      <c r="R14" s="52"/>
      <c r="S14" s="52"/>
    </row>
    <row r="15" spans="2:19" x14ac:dyDescent="0.2">
      <c r="B15" s="92"/>
      <c r="C15" s="124" t="s">
        <v>57</v>
      </c>
      <c r="D15" s="156"/>
      <c r="E15" s="228">
        <f>E22/D11</f>
        <v>40000</v>
      </c>
      <c r="F15" s="112"/>
      <c r="G15" s="112"/>
      <c r="H15" s="112"/>
      <c r="I15" s="112"/>
      <c r="J15" s="112"/>
      <c r="K15" s="90"/>
      <c r="L15" s="53"/>
      <c r="M15" s="77"/>
      <c r="N15" s="77"/>
      <c r="O15" s="77"/>
      <c r="P15" s="77"/>
      <c r="Q15" s="52"/>
      <c r="R15" s="52"/>
      <c r="S15" s="52"/>
    </row>
    <row r="16" spans="2:19" x14ac:dyDescent="0.2">
      <c r="B16" s="92"/>
      <c r="C16" s="124" t="s">
        <v>58</v>
      </c>
      <c r="D16" s="156"/>
      <c r="E16" s="229">
        <f>J40/E22</f>
        <v>0.15</v>
      </c>
      <c r="F16" s="112"/>
      <c r="G16" s="112"/>
      <c r="H16" s="112"/>
      <c r="I16" s="112"/>
      <c r="J16" s="112"/>
      <c r="K16" s="90"/>
      <c r="L16" s="53"/>
      <c r="M16" s="77"/>
      <c r="N16" s="77"/>
      <c r="O16" s="77"/>
      <c r="P16" s="77"/>
      <c r="Q16" s="52"/>
      <c r="R16" s="52"/>
      <c r="S16" s="52"/>
    </row>
    <row r="17" spans="2:19" ht="13.9" customHeight="1" x14ac:dyDescent="0.2">
      <c r="B17" s="92"/>
      <c r="C17" s="124" t="s">
        <v>16</v>
      </c>
      <c r="D17" s="156"/>
      <c r="E17" s="229">
        <f>(1/D12)</f>
        <v>10</v>
      </c>
      <c r="F17" s="112"/>
      <c r="G17" s="112"/>
      <c r="H17" s="112"/>
      <c r="I17" s="112"/>
      <c r="J17" s="112"/>
      <c r="K17" s="90"/>
      <c r="L17" s="53"/>
      <c r="M17" s="77"/>
      <c r="N17" s="77"/>
      <c r="O17" s="77"/>
      <c r="P17" s="77"/>
      <c r="Q17" s="52"/>
      <c r="R17" s="52"/>
      <c r="S17" s="52"/>
    </row>
    <row r="18" spans="2:19" ht="13.15" customHeight="1" thickBot="1" x14ac:dyDescent="0.25">
      <c r="B18" s="92"/>
      <c r="C18" s="124" t="s">
        <v>44</v>
      </c>
      <c r="D18" s="156"/>
      <c r="E18" s="230">
        <f>J53/E22</f>
        <v>9.6632499999999996E-2</v>
      </c>
      <c r="F18" s="112"/>
      <c r="G18" s="112"/>
      <c r="H18" s="112"/>
      <c r="I18" s="112"/>
      <c r="J18" s="112"/>
      <c r="K18" s="90"/>
      <c r="L18" s="53"/>
      <c r="M18" s="77"/>
      <c r="N18" s="77"/>
      <c r="O18" s="77"/>
      <c r="P18" s="77"/>
      <c r="Q18" s="52"/>
      <c r="R18" s="52"/>
      <c r="S18" s="52"/>
    </row>
    <row r="19" spans="2:19" ht="13.9" customHeight="1" thickTop="1" thickBot="1" x14ac:dyDescent="0.25">
      <c r="B19" s="92"/>
      <c r="C19" s="117" t="s">
        <v>18</v>
      </c>
      <c r="D19" s="157"/>
      <c r="E19" s="231">
        <f>E17*J53</f>
        <v>386530</v>
      </c>
      <c r="F19" s="125" t="s">
        <v>133</v>
      </c>
      <c r="G19" s="126"/>
      <c r="H19" s="126"/>
      <c r="I19" s="126"/>
      <c r="J19" s="127"/>
      <c r="K19" s="90"/>
      <c r="L19" s="53"/>
      <c r="M19" s="77"/>
      <c r="N19" s="77"/>
      <c r="O19" s="77"/>
      <c r="P19" s="77"/>
      <c r="Q19" s="52"/>
      <c r="R19" s="52"/>
      <c r="S19" s="52"/>
    </row>
    <row r="20" spans="2:19" ht="12" customHeight="1" thickTop="1" thickBot="1" x14ac:dyDescent="0.25">
      <c r="B20" s="92"/>
      <c r="C20" s="109"/>
      <c r="D20" s="110"/>
      <c r="E20" s="111"/>
      <c r="F20" s="128"/>
      <c r="G20" s="129"/>
      <c r="H20" s="129"/>
      <c r="I20" s="129"/>
      <c r="J20" s="130"/>
      <c r="K20" s="90"/>
      <c r="L20" s="53"/>
      <c r="M20" s="77"/>
      <c r="N20" s="77"/>
      <c r="O20" s="77"/>
      <c r="P20" s="77"/>
      <c r="Q20" s="52"/>
      <c r="R20" s="52"/>
      <c r="S20" s="52"/>
    </row>
    <row r="21" spans="2:19" ht="13.5" thickTop="1" x14ac:dyDescent="0.2">
      <c r="B21" s="92"/>
      <c r="C21" s="116" t="s">
        <v>40</v>
      </c>
      <c r="D21" s="158"/>
      <c r="E21" s="153"/>
      <c r="F21" s="113"/>
      <c r="G21" s="113"/>
      <c r="H21" s="113"/>
      <c r="I21" s="113"/>
      <c r="J21" s="113"/>
      <c r="K21" s="90"/>
      <c r="L21" s="53"/>
      <c r="M21" s="77"/>
      <c r="N21" s="77"/>
      <c r="O21" s="77"/>
      <c r="P21" s="77"/>
      <c r="Q21" s="52"/>
      <c r="R21" s="52"/>
      <c r="S21" s="52"/>
    </row>
    <row r="22" spans="2:19" ht="13.9" customHeight="1" x14ac:dyDescent="0.2">
      <c r="B22" s="92"/>
      <c r="C22" s="124" t="s">
        <v>68</v>
      </c>
      <c r="D22" s="159"/>
      <c r="E22" s="224">
        <v>400000</v>
      </c>
      <c r="F22" s="113"/>
      <c r="G22" s="113"/>
      <c r="H22" s="113"/>
      <c r="I22" s="113"/>
      <c r="J22" s="113"/>
      <c r="K22" s="90"/>
      <c r="L22" s="53"/>
      <c r="M22" s="77"/>
      <c r="N22" s="77"/>
      <c r="O22" s="77"/>
      <c r="P22" s="77"/>
      <c r="Q22" s="52"/>
      <c r="R22" s="52"/>
      <c r="S22" s="52"/>
    </row>
    <row r="23" spans="2:19" ht="13.9" customHeight="1" x14ac:dyDescent="0.2">
      <c r="B23" s="92"/>
      <c r="C23" s="124" t="s">
        <v>69</v>
      </c>
      <c r="D23" s="55">
        <v>0.01</v>
      </c>
      <c r="E23" s="225">
        <f>0.01*E22</f>
        <v>4000</v>
      </c>
      <c r="F23" s="113"/>
      <c r="G23" s="113"/>
      <c r="H23" s="113"/>
      <c r="I23" s="113"/>
      <c r="J23" s="113"/>
      <c r="K23" s="90"/>
      <c r="L23" s="53"/>
      <c r="M23" s="77"/>
      <c r="N23" s="77"/>
      <c r="O23" s="77"/>
      <c r="P23" s="77"/>
      <c r="Q23" s="52"/>
      <c r="R23" s="52"/>
      <c r="S23" s="52"/>
    </row>
    <row r="24" spans="2:19" x14ac:dyDescent="0.2">
      <c r="B24" s="92"/>
      <c r="C24" s="124" t="s">
        <v>70</v>
      </c>
      <c r="D24" s="159"/>
      <c r="E24" s="71">
        <f>SUM(E22:E23)</f>
        <v>404000</v>
      </c>
      <c r="F24" s="113"/>
      <c r="G24" s="113"/>
      <c r="H24" s="113"/>
      <c r="I24" s="113"/>
      <c r="J24" s="113"/>
      <c r="K24" s="90"/>
      <c r="L24" s="53"/>
      <c r="M24" s="77"/>
      <c r="N24" s="77"/>
      <c r="O24" s="77"/>
      <c r="P24" s="77"/>
      <c r="Q24" s="52"/>
      <c r="R24" s="52"/>
      <c r="S24" s="52"/>
    </row>
    <row r="25" spans="2:19" x14ac:dyDescent="0.2">
      <c r="B25" s="92"/>
      <c r="C25" s="124" t="s">
        <v>71</v>
      </c>
      <c r="D25" s="56">
        <f>D8</f>
        <v>0.75</v>
      </c>
      <c r="E25" s="72">
        <f>E22*D8</f>
        <v>300000</v>
      </c>
      <c r="F25" s="113"/>
      <c r="G25" s="113"/>
      <c r="H25" s="113"/>
      <c r="I25" s="113"/>
      <c r="J25" s="113"/>
      <c r="K25" s="90"/>
      <c r="L25" s="53"/>
      <c r="M25" s="77"/>
      <c r="N25" s="77"/>
      <c r="O25" s="77"/>
      <c r="P25" s="77"/>
      <c r="Q25" s="52"/>
      <c r="R25" s="52"/>
      <c r="S25" s="52"/>
    </row>
    <row r="26" spans="2:19" x14ac:dyDescent="0.2">
      <c r="B26" s="92"/>
      <c r="C26" s="124" t="s">
        <v>72</v>
      </c>
      <c r="D26" s="159"/>
      <c r="E26" s="154"/>
      <c r="F26" s="113"/>
      <c r="G26" s="113"/>
      <c r="H26" s="113"/>
      <c r="I26" s="113"/>
      <c r="J26" s="113"/>
      <c r="K26" s="90"/>
      <c r="L26" s="53"/>
      <c r="M26" s="77"/>
      <c r="N26" s="77"/>
      <c r="O26" s="77"/>
      <c r="P26" s="77"/>
      <c r="Q26" s="52"/>
      <c r="R26" s="52"/>
      <c r="S26" s="52"/>
    </row>
    <row r="27" spans="2:19" ht="13.5" thickBot="1" x14ac:dyDescent="0.25">
      <c r="B27" s="92"/>
      <c r="C27" s="131" t="s">
        <v>73</v>
      </c>
      <c r="D27" s="160"/>
      <c r="E27" s="73">
        <f>(E24-E25)</f>
        <v>104000</v>
      </c>
      <c r="F27" s="113"/>
      <c r="G27" s="113"/>
      <c r="H27" s="113"/>
      <c r="I27" s="113"/>
      <c r="J27" s="113"/>
      <c r="K27" s="90"/>
      <c r="L27" s="53"/>
      <c r="M27" s="77"/>
      <c r="N27" s="77"/>
      <c r="O27" s="77"/>
      <c r="P27" s="77"/>
      <c r="Q27" s="52"/>
      <c r="R27" s="52"/>
      <c r="S27" s="52"/>
    </row>
    <row r="28" spans="2:19" ht="14.25" thickTop="1" thickBot="1" x14ac:dyDescent="0.25">
      <c r="B28" s="92"/>
      <c r="C28" s="97"/>
      <c r="D28" s="97"/>
      <c r="E28" s="97"/>
      <c r="F28" s="86"/>
      <c r="G28" s="86"/>
      <c r="H28" s="86"/>
      <c r="I28" s="86"/>
      <c r="J28" s="86"/>
      <c r="K28" s="90"/>
      <c r="L28" s="53"/>
      <c r="M28" s="77"/>
      <c r="N28" s="77"/>
      <c r="O28" s="77"/>
      <c r="P28" s="77"/>
      <c r="Q28" s="52"/>
      <c r="R28" s="52"/>
      <c r="S28" s="52"/>
    </row>
    <row r="29" spans="2:19" ht="14.25" thickTop="1" thickBot="1" x14ac:dyDescent="0.25">
      <c r="B29" s="92"/>
      <c r="C29" s="142" t="s">
        <v>52</v>
      </c>
      <c r="D29" s="143"/>
      <c r="E29" s="143"/>
      <c r="F29" s="143"/>
      <c r="G29" s="143"/>
      <c r="H29" s="143"/>
      <c r="I29" s="143"/>
      <c r="J29" s="144"/>
      <c r="K29" s="90"/>
      <c r="L29" s="53"/>
      <c r="M29" s="77"/>
      <c r="N29" s="77"/>
      <c r="O29" s="77"/>
      <c r="P29" s="77"/>
      <c r="Q29" s="52"/>
      <c r="R29" s="52"/>
      <c r="S29" s="52"/>
    </row>
    <row r="30" spans="2:19" ht="13.5" thickTop="1" x14ac:dyDescent="0.2">
      <c r="B30" s="92"/>
      <c r="C30" s="198" t="s">
        <v>61</v>
      </c>
      <c r="D30" s="161"/>
      <c r="E30" s="161"/>
      <c r="F30" s="162">
        <f>D10/12</f>
        <v>4.3749999999999995E-3</v>
      </c>
      <c r="G30" s="163" t="s">
        <v>45</v>
      </c>
      <c r="H30" s="163" t="s">
        <v>74</v>
      </c>
      <c r="I30" s="163" t="s">
        <v>75</v>
      </c>
      <c r="J30" s="164" t="s">
        <v>76</v>
      </c>
      <c r="K30" s="90"/>
      <c r="L30" s="53"/>
      <c r="M30" s="77"/>
      <c r="N30" s="77"/>
      <c r="O30" s="77"/>
      <c r="P30" s="77"/>
      <c r="Q30" s="52"/>
      <c r="R30" s="52"/>
      <c r="S30" s="52"/>
    </row>
    <row r="31" spans="2:19" x14ac:dyDescent="0.2">
      <c r="B31" s="92"/>
      <c r="C31" s="195" t="s">
        <v>77</v>
      </c>
      <c r="D31" s="150"/>
      <c r="E31" s="150"/>
      <c r="F31" s="150">
        <v>180</v>
      </c>
      <c r="G31" s="150">
        <f>F31-12</f>
        <v>168</v>
      </c>
      <c r="H31" s="150">
        <v>1</v>
      </c>
      <c r="I31" s="166">
        <f>PV($F$30,G31,$F$34)</f>
        <v>286488.35328580963</v>
      </c>
      <c r="J31" s="167">
        <f>$F$32-I31</f>
        <v>13511.64671419037</v>
      </c>
      <c r="K31" s="90"/>
      <c r="L31" s="53"/>
      <c r="M31" s="77"/>
      <c r="N31" s="77"/>
      <c r="O31" s="77"/>
      <c r="P31" s="77"/>
      <c r="Q31" s="52"/>
      <c r="R31" s="52"/>
      <c r="S31" s="52"/>
    </row>
    <row r="32" spans="2:19" x14ac:dyDescent="0.2">
      <c r="B32" s="92"/>
      <c r="C32" s="195" t="s">
        <v>78</v>
      </c>
      <c r="D32" s="150"/>
      <c r="E32" s="150"/>
      <c r="F32" s="168">
        <f>E25</f>
        <v>300000</v>
      </c>
      <c r="G32" s="150">
        <f>$F$31-24</f>
        <v>156</v>
      </c>
      <c r="H32" s="150">
        <v>2</v>
      </c>
      <c r="I32" s="166">
        <f>PV($F$30,G32,$F$34)</f>
        <v>272250.02471853048</v>
      </c>
      <c r="J32" s="169">
        <f>I31-I32</f>
        <v>14238.328567279154</v>
      </c>
      <c r="K32" s="90"/>
      <c r="L32" s="53"/>
      <c r="M32" s="77"/>
      <c r="N32" s="77"/>
      <c r="O32" s="77"/>
      <c r="P32" s="77"/>
      <c r="Q32" s="52"/>
      <c r="R32" s="52"/>
      <c r="S32" s="52"/>
    </row>
    <row r="33" spans="2:19" x14ac:dyDescent="0.2">
      <c r="B33" s="92"/>
      <c r="C33" s="195" t="s">
        <v>79</v>
      </c>
      <c r="D33" s="150"/>
      <c r="E33" s="150"/>
      <c r="F33" s="168">
        <v>0</v>
      </c>
      <c r="G33" s="150">
        <f>$F$31-36</f>
        <v>144</v>
      </c>
      <c r="H33" s="150">
        <v>3</v>
      </c>
      <c r="I33" s="166">
        <f>PV($F$30,G33,$F$34)</f>
        <v>257245.93197705751</v>
      </c>
      <c r="J33" s="169">
        <f>I32-I33</f>
        <v>15004.092741472967</v>
      </c>
      <c r="K33" s="90"/>
      <c r="L33" s="53"/>
      <c r="M33" s="77"/>
      <c r="N33" s="77"/>
      <c r="O33" s="77"/>
      <c r="P33" s="77"/>
      <c r="Q33" s="52"/>
      <c r="R33" s="52"/>
      <c r="S33" s="52"/>
    </row>
    <row r="34" spans="2:19" x14ac:dyDescent="0.2">
      <c r="B34" s="92"/>
      <c r="C34" s="195" t="s">
        <v>80</v>
      </c>
      <c r="D34" s="150"/>
      <c r="E34" s="150"/>
      <c r="F34" s="166">
        <f>PMT(F30,F31,F32,F33)</f>
        <v>-2411.6331463352863</v>
      </c>
      <c r="G34" s="150">
        <f>$F$31-48</f>
        <v>132</v>
      </c>
      <c r="H34" s="150">
        <v>4</v>
      </c>
      <c r="I34" s="166">
        <f>PV($F$30,G34,$F$34)</f>
        <v>241434.89081931429</v>
      </c>
      <c r="J34" s="169">
        <f>I33-I34</f>
        <v>15811.041157743224</v>
      </c>
      <c r="K34" s="90"/>
      <c r="L34" s="53"/>
      <c r="M34" s="77"/>
      <c r="N34" s="77"/>
      <c r="O34" s="77"/>
      <c r="P34" s="77"/>
      <c r="Q34" s="52"/>
      <c r="R34" s="52"/>
      <c r="S34" s="52"/>
    </row>
    <row r="35" spans="2:19" x14ac:dyDescent="0.2">
      <c r="B35" s="92"/>
      <c r="C35" s="165"/>
      <c r="D35" s="150"/>
      <c r="E35" s="150"/>
      <c r="F35" s="150"/>
      <c r="G35" s="150">
        <f>$F$31-60</f>
        <v>120</v>
      </c>
      <c r="H35" s="150">
        <v>5</v>
      </c>
      <c r="I35" s="166">
        <f>PV($F$30,G35,$F$34)</f>
        <v>224773.50203698204</v>
      </c>
      <c r="J35" s="169">
        <f>I34-I35</f>
        <v>16661.388782332244</v>
      </c>
      <c r="K35" s="90"/>
      <c r="L35" s="53"/>
      <c r="M35" s="77"/>
      <c r="N35" s="77"/>
      <c r="O35" s="77"/>
      <c r="P35" s="77"/>
      <c r="Q35" s="52"/>
      <c r="R35" s="52"/>
      <c r="S35" s="52"/>
    </row>
    <row r="36" spans="2:19" ht="13.5" thickBot="1" x14ac:dyDescent="0.25">
      <c r="B36" s="92"/>
      <c r="C36" s="170"/>
      <c r="D36" s="152"/>
      <c r="E36" s="152"/>
      <c r="F36" s="152"/>
      <c r="G36" s="152"/>
      <c r="H36" s="171" t="s">
        <v>81</v>
      </c>
      <c r="I36" s="172">
        <f>SUM(J31:J35)</f>
        <v>75226.497963017959</v>
      </c>
      <c r="J36" s="173"/>
      <c r="K36" s="90"/>
      <c r="L36" s="53"/>
      <c r="M36" s="77"/>
      <c r="N36" s="77"/>
      <c r="O36" s="77"/>
      <c r="P36" s="77"/>
      <c r="Q36" s="52"/>
      <c r="R36" s="52"/>
      <c r="S36" s="52"/>
    </row>
    <row r="37" spans="2:19" ht="14.25" thickTop="1" thickBot="1" x14ac:dyDescent="0.25">
      <c r="B37" s="92"/>
      <c r="C37" s="142" t="s">
        <v>82</v>
      </c>
      <c r="D37" s="143"/>
      <c r="E37" s="143"/>
      <c r="F37" s="143"/>
      <c r="G37" s="143"/>
      <c r="H37" s="143"/>
      <c r="I37" s="143"/>
      <c r="J37" s="144"/>
      <c r="K37" s="90"/>
      <c r="L37" s="53"/>
      <c r="M37" s="77"/>
      <c r="N37" s="77"/>
      <c r="O37" s="77"/>
      <c r="P37" s="77"/>
      <c r="Q37" s="52"/>
      <c r="R37" s="52"/>
      <c r="S37" s="52"/>
    </row>
    <row r="38" spans="2:19" ht="13.5" thickTop="1" x14ac:dyDescent="0.2">
      <c r="B38" s="92"/>
      <c r="C38" s="194" t="s">
        <v>83</v>
      </c>
      <c r="D38" s="149"/>
      <c r="E38" s="149"/>
      <c r="F38" s="193" t="s">
        <v>84</v>
      </c>
      <c r="G38" s="149"/>
      <c r="H38" s="149"/>
      <c r="I38" s="192" t="s">
        <v>85</v>
      </c>
      <c r="J38" s="191" t="s">
        <v>86</v>
      </c>
      <c r="K38" s="90"/>
      <c r="L38" s="53"/>
      <c r="M38" s="77"/>
      <c r="N38" s="77"/>
      <c r="O38" s="77"/>
      <c r="P38" s="77"/>
      <c r="Q38" s="52"/>
      <c r="R38" s="52"/>
      <c r="S38" s="52"/>
    </row>
    <row r="39" spans="2:19" ht="10.15" customHeight="1" x14ac:dyDescent="0.2">
      <c r="B39" s="92"/>
      <c r="C39" s="195"/>
      <c r="D39" s="150"/>
      <c r="E39" s="150"/>
      <c r="F39" s="150"/>
      <c r="G39" s="150"/>
      <c r="H39" s="150"/>
      <c r="I39" s="150"/>
      <c r="J39" s="177"/>
      <c r="K39" s="90"/>
      <c r="L39" s="53"/>
      <c r="M39" s="77"/>
      <c r="N39" s="77"/>
      <c r="O39" s="77"/>
      <c r="P39" s="77"/>
      <c r="Q39" s="52"/>
      <c r="R39" s="52"/>
      <c r="S39" s="52"/>
    </row>
    <row r="40" spans="2:19" x14ac:dyDescent="0.2">
      <c r="B40" s="92"/>
      <c r="C40" s="196" t="s">
        <v>19</v>
      </c>
      <c r="D40" s="150"/>
      <c r="E40" s="150"/>
      <c r="F40" s="150"/>
      <c r="G40" s="150"/>
      <c r="H40" s="150"/>
      <c r="I40" s="59">
        <v>5000</v>
      </c>
      <c r="J40" s="190">
        <f>I40*12</f>
        <v>60000</v>
      </c>
      <c r="K40" s="90"/>
      <c r="L40" s="53"/>
      <c r="M40" s="77"/>
      <c r="N40" s="77"/>
      <c r="O40" s="77"/>
      <c r="P40" s="77"/>
      <c r="Q40" s="52"/>
      <c r="R40" s="52"/>
      <c r="S40" s="52"/>
    </row>
    <row r="41" spans="2:19" x14ac:dyDescent="0.2">
      <c r="B41" s="92"/>
      <c r="C41" s="195" t="s">
        <v>59</v>
      </c>
      <c r="D41" s="57"/>
      <c r="E41" s="60">
        <v>0.08</v>
      </c>
      <c r="F41" s="150"/>
      <c r="G41" s="150"/>
      <c r="H41" s="150"/>
      <c r="I41" s="189">
        <f>J41/12</f>
        <v>400</v>
      </c>
      <c r="J41" s="177">
        <f>J40*E41</f>
        <v>4800</v>
      </c>
      <c r="K41" s="90"/>
      <c r="L41" s="53"/>
      <c r="M41" s="77"/>
      <c r="N41" s="77"/>
      <c r="O41" s="77"/>
      <c r="P41" s="77"/>
      <c r="Q41" s="52"/>
      <c r="R41" s="52"/>
      <c r="S41" s="52"/>
    </row>
    <row r="42" spans="2:19" x14ac:dyDescent="0.2">
      <c r="B42" s="92"/>
      <c r="C42" s="195" t="s">
        <v>11</v>
      </c>
      <c r="D42" s="150"/>
      <c r="E42" s="188"/>
      <c r="F42" s="150"/>
      <c r="G42" s="150"/>
      <c r="H42" s="150"/>
      <c r="I42" s="184">
        <f t="shared" ref="I42:I50" si="0">J42/12</f>
        <v>0</v>
      </c>
      <c r="J42" s="61">
        <v>0</v>
      </c>
      <c r="K42" s="90"/>
      <c r="L42" s="53"/>
      <c r="M42" s="77"/>
      <c r="N42" s="77"/>
      <c r="O42" s="77"/>
      <c r="P42" s="77"/>
      <c r="Q42" s="52"/>
      <c r="R42" s="52"/>
      <c r="S42" s="52"/>
    </row>
    <row r="43" spans="2:19" x14ac:dyDescent="0.2">
      <c r="B43" s="92"/>
      <c r="C43" s="195" t="s">
        <v>87</v>
      </c>
      <c r="D43" s="150"/>
      <c r="E43" s="150"/>
      <c r="F43" s="150"/>
      <c r="G43" s="150"/>
      <c r="H43" s="150"/>
      <c r="I43" s="184">
        <f t="shared" si="0"/>
        <v>0</v>
      </c>
      <c r="J43" s="61">
        <v>0</v>
      </c>
      <c r="K43" s="90"/>
      <c r="L43" s="53"/>
      <c r="M43" s="77"/>
      <c r="N43" s="77"/>
      <c r="O43" s="77"/>
      <c r="P43" s="77"/>
      <c r="Q43" s="52"/>
      <c r="R43" s="52"/>
      <c r="S43" s="52"/>
    </row>
    <row r="44" spans="2:19" x14ac:dyDescent="0.2">
      <c r="B44" s="92"/>
      <c r="C44" s="195" t="s">
        <v>12</v>
      </c>
      <c r="D44" s="150"/>
      <c r="E44" s="150"/>
      <c r="F44" s="150"/>
      <c r="G44" s="150"/>
      <c r="H44" s="150"/>
      <c r="I44" s="184">
        <f t="shared" si="0"/>
        <v>0</v>
      </c>
      <c r="J44" s="61">
        <v>0</v>
      </c>
      <c r="K44" s="90"/>
      <c r="L44" s="53"/>
      <c r="M44" s="77"/>
      <c r="N44" s="77"/>
      <c r="O44" s="77"/>
      <c r="P44" s="77"/>
      <c r="Q44" s="52"/>
      <c r="R44" s="52"/>
      <c r="S44" s="52"/>
    </row>
    <row r="45" spans="2:19" x14ac:dyDescent="0.2">
      <c r="B45" s="92"/>
      <c r="C45" s="195" t="s">
        <v>8</v>
      </c>
      <c r="D45" s="150"/>
      <c r="E45" s="150"/>
      <c r="F45" s="150"/>
      <c r="G45" s="150"/>
      <c r="H45" s="150"/>
      <c r="I45" s="184">
        <f t="shared" si="0"/>
        <v>0</v>
      </c>
      <c r="J45" s="61">
        <v>0</v>
      </c>
      <c r="K45" s="90"/>
      <c r="L45" s="53"/>
      <c r="M45" s="77"/>
      <c r="N45" s="77"/>
      <c r="O45" s="77"/>
      <c r="P45" s="77"/>
      <c r="Q45" s="52"/>
      <c r="R45" s="52"/>
      <c r="S45" s="52"/>
    </row>
    <row r="46" spans="2:19" x14ac:dyDescent="0.2">
      <c r="B46" s="92"/>
      <c r="C46" s="195" t="s">
        <v>89</v>
      </c>
      <c r="D46" s="150"/>
      <c r="E46" s="150"/>
      <c r="F46" s="150"/>
      <c r="G46" s="150"/>
      <c r="H46" s="150"/>
      <c r="I46" s="184">
        <f t="shared" si="0"/>
        <v>166.66666666666666</v>
      </c>
      <c r="J46" s="61">
        <v>2000</v>
      </c>
      <c r="K46" s="90"/>
      <c r="L46" s="53"/>
      <c r="M46" s="77"/>
      <c r="N46" s="77"/>
      <c r="O46" s="77"/>
      <c r="P46" s="77"/>
      <c r="Q46" s="52"/>
      <c r="R46" s="52"/>
      <c r="S46" s="52"/>
    </row>
    <row r="47" spans="2:19" x14ac:dyDescent="0.2">
      <c r="B47" s="92"/>
      <c r="C47" s="195" t="s">
        <v>90</v>
      </c>
      <c r="D47" s="150"/>
      <c r="E47" s="150"/>
      <c r="F47" s="150"/>
      <c r="G47" s="62">
        <v>0.08</v>
      </c>
      <c r="H47" s="150"/>
      <c r="I47" s="184">
        <f t="shared" si="0"/>
        <v>368</v>
      </c>
      <c r="J47" s="177">
        <f>(J40-J41)*G47</f>
        <v>4416</v>
      </c>
      <c r="K47" s="90"/>
      <c r="L47" s="53"/>
      <c r="M47" s="77"/>
      <c r="N47" s="77"/>
      <c r="O47" s="77"/>
      <c r="P47" s="77"/>
      <c r="Q47" s="52"/>
      <c r="R47" s="52"/>
      <c r="S47" s="52"/>
    </row>
    <row r="48" spans="2:19" x14ac:dyDescent="0.2">
      <c r="B48" s="92"/>
      <c r="C48" s="195" t="s">
        <v>91</v>
      </c>
      <c r="D48" s="150"/>
      <c r="E48" s="187"/>
      <c r="F48" s="150"/>
      <c r="G48" s="150"/>
      <c r="H48" s="150"/>
      <c r="I48" s="186">
        <f t="shared" si="0"/>
        <v>344.25</v>
      </c>
      <c r="J48" s="61">
        <v>4131</v>
      </c>
      <c r="K48" s="90"/>
      <c r="L48" s="53"/>
      <c r="M48" s="77"/>
      <c r="N48" s="77"/>
      <c r="O48" s="77"/>
      <c r="P48" s="77"/>
      <c r="Q48" s="52"/>
      <c r="R48" s="52"/>
      <c r="S48" s="52"/>
    </row>
    <row r="49" spans="2:19" x14ac:dyDescent="0.2">
      <c r="B49" s="92"/>
      <c r="C49" s="195" t="s">
        <v>9</v>
      </c>
      <c r="D49" s="150"/>
      <c r="E49" s="63">
        <v>0.05</v>
      </c>
      <c r="F49" s="150"/>
      <c r="G49" s="150"/>
      <c r="H49" s="150"/>
      <c r="I49" s="184">
        <f t="shared" si="0"/>
        <v>250</v>
      </c>
      <c r="J49" s="177">
        <f>J40*E49</f>
        <v>3000</v>
      </c>
      <c r="K49" s="90"/>
      <c r="L49" s="53"/>
      <c r="M49" s="77"/>
      <c r="N49" s="77"/>
      <c r="O49" s="77"/>
      <c r="P49" s="77"/>
      <c r="Q49" s="52"/>
      <c r="R49" s="52"/>
      <c r="S49" s="52"/>
    </row>
    <row r="50" spans="2:19" x14ac:dyDescent="0.2">
      <c r="B50" s="92"/>
      <c r="C50" s="195" t="s">
        <v>10</v>
      </c>
      <c r="D50" s="150"/>
      <c r="E50" s="63">
        <v>0.05</v>
      </c>
      <c r="F50" s="150"/>
      <c r="G50" s="150"/>
      <c r="H50" s="150"/>
      <c r="I50" s="184">
        <f t="shared" si="0"/>
        <v>250</v>
      </c>
      <c r="J50" s="177">
        <f>J40*E50</f>
        <v>3000</v>
      </c>
      <c r="K50" s="90"/>
      <c r="L50" s="53"/>
      <c r="M50" s="77"/>
      <c r="N50" s="77"/>
      <c r="O50" s="77"/>
      <c r="P50" s="77"/>
      <c r="Q50" s="52"/>
      <c r="R50" s="52"/>
      <c r="S50" s="52"/>
    </row>
    <row r="51" spans="2:19" x14ac:dyDescent="0.2">
      <c r="B51" s="92"/>
      <c r="C51" s="196" t="s">
        <v>93</v>
      </c>
      <c r="D51" s="150"/>
      <c r="E51" s="150"/>
      <c r="F51" s="150"/>
      <c r="G51" s="150"/>
      <c r="H51" s="150"/>
      <c r="I51" s="185">
        <f>SUM(I42:I50)</f>
        <v>1378.9166666666665</v>
      </c>
      <c r="J51" s="183">
        <f>SUM(J42:J50)</f>
        <v>16547</v>
      </c>
      <c r="K51" s="90"/>
      <c r="L51" s="53"/>
      <c r="M51" s="77"/>
      <c r="N51" s="77"/>
      <c r="O51" s="77"/>
      <c r="P51" s="77"/>
      <c r="Q51" s="52"/>
      <c r="R51" s="52"/>
      <c r="S51" s="52"/>
    </row>
    <row r="52" spans="2:19" x14ac:dyDescent="0.2">
      <c r="B52" s="92"/>
      <c r="C52" s="196" t="s">
        <v>15</v>
      </c>
      <c r="D52" s="150"/>
      <c r="E52" s="150"/>
      <c r="F52" s="150"/>
      <c r="G52" s="150"/>
      <c r="H52" s="150"/>
      <c r="I52" s="182">
        <f>J52/12</f>
        <v>4600</v>
      </c>
      <c r="J52" s="183">
        <f>J40-J41</f>
        <v>55200</v>
      </c>
      <c r="K52" s="90"/>
      <c r="L52" s="53"/>
      <c r="M52" s="77"/>
      <c r="N52" s="77"/>
      <c r="O52" s="77"/>
      <c r="P52" s="77"/>
      <c r="Q52" s="52"/>
      <c r="R52" s="52"/>
      <c r="S52" s="52"/>
    </row>
    <row r="53" spans="2:19" x14ac:dyDescent="0.2">
      <c r="B53" s="92"/>
      <c r="C53" s="196" t="s">
        <v>94</v>
      </c>
      <c r="D53" s="150"/>
      <c r="E53" s="150"/>
      <c r="F53" s="150"/>
      <c r="G53" s="150"/>
      <c r="H53" s="150"/>
      <c r="I53" s="182">
        <f>I52-I51</f>
        <v>3221.0833333333335</v>
      </c>
      <c r="J53" s="183">
        <f>J52-J51</f>
        <v>38653</v>
      </c>
      <c r="K53" s="90"/>
      <c r="L53" s="53"/>
      <c r="M53" s="77"/>
      <c r="N53" s="77"/>
      <c r="O53" s="77"/>
      <c r="P53" s="77"/>
      <c r="Q53" s="52"/>
      <c r="R53" s="52"/>
      <c r="S53" s="52"/>
    </row>
    <row r="54" spans="2:19" x14ac:dyDescent="0.2">
      <c r="B54" s="92"/>
      <c r="C54" s="195" t="s">
        <v>95</v>
      </c>
      <c r="D54" s="150"/>
      <c r="E54" s="150"/>
      <c r="F54" s="150"/>
      <c r="G54" s="150"/>
      <c r="H54" s="150"/>
      <c r="I54" s="166">
        <f>F34</f>
        <v>-2411.6331463352863</v>
      </c>
      <c r="J54" s="169">
        <f>12*I54</f>
        <v>-28939.597756023435</v>
      </c>
      <c r="K54" s="90"/>
      <c r="L54" s="53"/>
      <c r="M54" s="77"/>
      <c r="N54" s="77"/>
      <c r="O54" s="77"/>
      <c r="P54" s="77"/>
      <c r="Q54" s="52"/>
      <c r="R54" s="52"/>
      <c r="S54" s="52"/>
    </row>
    <row r="55" spans="2:19" x14ac:dyDescent="0.2">
      <c r="B55" s="92"/>
      <c r="C55" s="196" t="s">
        <v>96</v>
      </c>
      <c r="D55" s="150"/>
      <c r="E55" s="150"/>
      <c r="F55" s="150"/>
      <c r="G55" s="150"/>
      <c r="H55" s="150"/>
      <c r="I55" s="181">
        <f>I53+I54</f>
        <v>809.45018699804723</v>
      </c>
      <c r="J55" s="138">
        <f>J53+J54</f>
        <v>9713.4022439765649</v>
      </c>
      <c r="K55" s="90"/>
      <c r="L55" s="53"/>
      <c r="M55" s="77"/>
      <c r="N55" s="77"/>
      <c r="O55" s="77"/>
      <c r="P55" s="77"/>
      <c r="Q55" s="52"/>
      <c r="R55" s="52"/>
      <c r="S55" s="52"/>
    </row>
    <row r="56" spans="2:19" x14ac:dyDescent="0.2">
      <c r="B56" s="92"/>
      <c r="C56" s="195" t="s">
        <v>24</v>
      </c>
      <c r="D56" s="150"/>
      <c r="E56" s="150"/>
      <c r="F56" s="150"/>
      <c r="G56" s="150"/>
      <c r="H56" s="150"/>
      <c r="I56" s="150"/>
      <c r="J56" s="180">
        <f>J51/J52</f>
        <v>0.29976449275362321</v>
      </c>
      <c r="K56" s="90"/>
      <c r="L56" s="53"/>
      <c r="M56" s="77"/>
      <c r="N56" s="77"/>
      <c r="O56" s="77"/>
      <c r="P56" s="77"/>
      <c r="Q56" s="52"/>
      <c r="R56" s="52"/>
      <c r="S56" s="52"/>
    </row>
    <row r="57" spans="2:19" x14ac:dyDescent="0.2">
      <c r="B57" s="92"/>
      <c r="C57" s="195" t="s">
        <v>97</v>
      </c>
      <c r="D57" s="150"/>
      <c r="E57" s="150"/>
      <c r="F57" s="64">
        <v>430000</v>
      </c>
      <c r="G57" s="150" t="s">
        <v>27</v>
      </c>
      <c r="H57" s="58">
        <v>39</v>
      </c>
      <c r="I57" s="178">
        <f>J57/12</f>
        <v>918.80341880341882</v>
      </c>
      <c r="J57" s="179">
        <f>F57/H57</f>
        <v>11025.641025641025</v>
      </c>
      <c r="K57" s="90"/>
      <c r="L57" s="53"/>
      <c r="M57" s="77"/>
      <c r="N57" s="77"/>
      <c r="O57" s="77"/>
      <c r="P57" s="77"/>
      <c r="Q57" s="52"/>
      <c r="R57" s="52"/>
      <c r="S57" s="52"/>
    </row>
    <row r="58" spans="2:19" x14ac:dyDescent="0.2">
      <c r="B58" s="92"/>
      <c r="C58" s="195" t="s">
        <v>128</v>
      </c>
      <c r="D58" s="150"/>
      <c r="E58" s="150"/>
      <c r="F58" s="150"/>
      <c r="G58" s="150"/>
      <c r="H58" s="150"/>
      <c r="I58" s="150"/>
      <c r="J58" s="175">
        <f>(-F34*12)-J31</f>
        <v>15427.951041833065</v>
      </c>
      <c r="K58" s="90"/>
      <c r="L58" s="53"/>
      <c r="M58" s="77"/>
      <c r="N58" s="77"/>
      <c r="O58" s="77"/>
      <c r="P58" s="77"/>
      <c r="Q58" s="52"/>
      <c r="R58" s="52"/>
      <c r="S58" s="52"/>
    </row>
    <row r="59" spans="2:19" x14ac:dyDescent="0.2">
      <c r="B59" s="92"/>
      <c r="C59" s="196" t="s">
        <v>98</v>
      </c>
      <c r="D59" s="150"/>
      <c r="E59" s="150"/>
      <c r="F59" s="150"/>
      <c r="G59" s="150"/>
      <c r="H59" s="150"/>
      <c r="I59" s="150"/>
      <c r="J59" s="176">
        <f>(J53)-J57-((-F34*12)-J31)</f>
        <v>12199.407932525912</v>
      </c>
      <c r="K59" s="90"/>
      <c r="L59" s="53"/>
      <c r="M59" s="77"/>
      <c r="N59" s="77"/>
      <c r="O59" s="77"/>
      <c r="P59" s="77"/>
      <c r="Q59" s="52"/>
      <c r="R59" s="52"/>
      <c r="S59" s="52"/>
    </row>
    <row r="60" spans="2:19" ht="10.9" customHeight="1" x14ac:dyDescent="0.2">
      <c r="B60" s="92"/>
      <c r="C60" s="195"/>
      <c r="D60" s="150"/>
      <c r="E60" s="150"/>
      <c r="F60" s="150"/>
      <c r="G60" s="150"/>
      <c r="H60" s="150"/>
      <c r="I60" s="150"/>
      <c r="J60" s="177"/>
      <c r="K60" s="90"/>
      <c r="L60" s="53"/>
      <c r="M60" s="77"/>
      <c r="N60" s="77"/>
      <c r="O60" s="77"/>
      <c r="P60" s="77"/>
      <c r="Q60" s="52"/>
      <c r="R60" s="52"/>
      <c r="S60" s="52"/>
    </row>
    <row r="61" spans="2:19" x14ac:dyDescent="0.2">
      <c r="B61" s="92"/>
      <c r="C61" s="195" t="s">
        <v>96</v>
      </c>
      <c r="D61" s="150"/>
      <c r="E61" s="150"/>
      <c r="F61" s="150"/>
      <c r="G61" s="150"/>
      <c r="H61" s="150"/>
      <c r="I61" s="150"/>
      <c r="J61" s="169">
        <f>J55</f>
        <v>9713.4022439765649</v>
      </c>
      <c r="K61" s="90"/>
      <c r="L61" s="53"/>
      <c r="M61" s="77"/>
      <c r="N61" s="77"/>
      <c r="O61" s="77"/>
      <c r="P61" s="77"/>
      <c r="Q61" s="52"/>
      <c r="R61" s="52"/>
      <c r="S61" s="52"/>
    </row>
    <row r="62" spans="2:19" x14ac:dyDescent="0.2">
      <c r="B62" s="92"/>
      <c r="C62" s="195" t="s">
        <v>127</v>
      </c>
      <c r="D62" s="150"/>
      <c r="E62" s="150"/>
      <c r="F62" s="150"/>
      <c r="G62" s="150"/>
      <c r="H62" s="150"/>
      <c r="I62" s="150"/>
      <c r="J62" s="169">
        <f>-J8*J59</f>
        <v>-3415.8342211072554</v>
      </c>
      <c r="K62" s="90"/>
      <c r="L62" s="53"/>
      <c r="M62" s="77"/>
      <c r="N62" s="77"/>
      <c r="O62" s="77"/>
      <c r="P62" s="77"/>
      <c r="Q62" s="52"/>
      <c r="R62" s="52"/>
      <c r="S62" s="52"/>
    </row>
    <row r="63" spans="2:19" x14ac:dyDescent="0.2">
      <c r="B63" s="92"/>
      <c r="C63" s="196" t="s">
        <v>100</v>
      </c>
      <c r="D63" s="150"/>
      <c r="E63" s="150"/>
      <c r="F63" s="150"/>
      <c r="G63" s="150"/>
      <c r="H63" s="150"/>
      <c r="I63" s="150"/>
      <c r="J63" s="137">
        <f>J61+J62</f>
        <v>6297.5680228693091</v>
      </c>
      <c r="K63" s="90"/>
      <c r="L63" s="53"/>
      <c r="M63" s="77"/>
      <c r="N63" s="77"/>
      <c r="O63" s="77"/>
      <c r="P63" s="77"/>
      <c r="Q63" s="52"/>
      <c r="R63" s="52"/>
      <c r="S63" s="52"/>
    </row>
    <row r="64" spans="2:19" ht="13.5" thickBot="1" x14ac:dyDescent="0.25">
      <c r="B64" s="92"/>
      <c r="C64" s="197" t="s">
        <v>126</v>
      </c>
      <c r="D64" s="174"/>
      <c r="E64" s="174"/>
      <c r="F64" s="174"/>
      <c r="G64" s="174"/>
      <c r="H64" s="174"/>
      <c r="I64" s="174"/>
      <c r="J64" s="139">
        <f>J63/E27</f>
        <v>6.0553538681435662E-2</v>
      </c>
      <c r="K64" s="90"/>
      <c r="L64" s="53"/>
      <c r="M64" s="77"/>
      <c r="N64" s="77"/>
      <c r="O64" s="77"/>
      <c r="P64" s="77"/>
      <c r="Q64" s="52"/>
      <c r="R64" s="52"/>
      <c r="S64" s="52"/>
    </row>
    <row r="65" spans="2:19" ht="14.25" thickTop="1" thickBot="1" x14ac:dyDescent="0.25">
      <c r="B65" s="92"/>
      <c r="C65" s="142" t="s">
        <v>101</v>
      </c>
      <c r="D65" s="143"/>
      <c r="E65" s="143"/>
      <c r="F65" s="143"/>
      <c r="G65" s="143"/>
      <c r="H65" s="143"/>
      <c r="I65" s="143"/>
      <c r="J65" s="144"/>
      <c r="K65" s="90"/>
      <c r="L65" s="53"/>
      <c r="M65" s="77"/>
      <c r="N65" s="77"/>
      <c r="O65" s="77"/>
      <c r="P65" s="77"/>
      <c r="Q65" s="52"/>
      <c r="R65" s="52"/>
      <c r="S65" s="52"/>
    </row>
    <row r="66" spans="2:19" ht="13.5" thickTop="1" x14ac:dyDescent="0.2">
      <c r="B66" s="92"/>
      <c r="C66" s="199" t="s">
        <v>83</v>
      </c>
      <c r="D66" s="205"/>
      <c r="E66" s="205" t="s">
        <v>102</v>
      </c>
      <c r="F66" s="205" t="s">
        <v>103</v>
      </c>
      <c r="G66" s="205" t="s">
        <v>104</v>
      </c>
      <c r="H66" s="205" t="s">
        <v>105</v>
      </c>
      <c r="I66" s="205" t="s">
        <v>106</v>
      </c>
      <c r="J66" s="206" t="s">
        <v>107</v>
      </c>
      <c r="K66" s="90"/>
      <c r="L66" s="53"/>
      <c r="M66" s="77"/>
      <c r="N66" s="77"/>
      <c r="O66" s="77"/>
      <c r="P66" s="77"/>
      <c r="Q66" s="52"/>
      <c r="R66" s="52"/>
      <c r="S66" s="52"/>
    </row>
    <row r="67" spans="2:19" x14ac:dyDescent="0.2">
      <c r="B67" s="92"/>
      <c r="C67" s="195" t="s">
        <v>108</v>
      </c>
      <c r="D67" s="150"/>
      <c r="E67" s="58">
        <v>0.03</v>
      </c>
      <c r="F67" s="178">
        <f>J40</f>
        <v>60000</v>
      </c>
      <c r="G67" s="178">
        <f>($E$67*F67)+F67</f>
        <v>61800</v>
      </c>
      <c r="H67" s="178">
        <f>($E$67*G67)+G67</f>
        <v>63654</v>
      </c>
      <c r="I67" s="178">
        <f>($E$67*H67)+H67</f>
        <v>65563.62</v>
      </c>
      <c r="J67" s="201">
        <f>($E$67*I67)+I67</f>
        <v>67530.528599999991</v>
      </c>
      <c r="K67" s="90"/>
      <c r="L67" s="53"/>
      <c r="M67" s="77"/>
      <c r="N67" s="77"/>
      <c r="O67" s="77"/>
      <c r="P67" s="77"/>
      <c r="Q67" s="52"/>
      <c r="R67" s="52"/>
      <c r="S67" s="52"/>
    </row>
    <row r="68" spans="2:19" x14ac:dyDescent="0.2">
      <c r="B68" s="92"/>
      <c r="C68" s="195" t="s">
        <v>59</v>
      </c>
      <c r="D68" s="150"/>
      <c r="E68" s="58">
        <v>0</v>
      </c>
      <c r="F68" s="178">
        <f>J41</f>
        <v>4800</v>
      </c>
      <c r="G68" s="178">
        <f>($E$68*F68)+F68</f>
        <v>4800</v>
      </c>
      <c r="H68" s="178">
        <f>($E$68*G68)+G68</f>
        <v>4800</v>
      </c>
      <c r="I68" s="178">
        <f>($E$68*H68)+H68</f>
        <v>4800</v>
      </c>
      <c r="J68" s="201">
        <f>($E$68*I68)+I68</f>
        <v>4800</v>
      </c>
      <c r="K68" s="90"/>
      <c r="L68" s="53"/>
      <c r="M68" s="77"/>
      <c r="N68" s="77"/>
      <c r="O68" s="77"/>
      <c r="P68" s="77"/>
      <c r="Q68" s="52"/>
      <c r="R68" s="52"/>
      <c r="S68" s="52"/>
    </row>
    <row r="69" spans="2:19" x14ac:dyDescent="0.2">
      <c r="B69" s="92"/>
      <c r="C69" s="195" t="s">
        <v>87</v>
      </c>
      <c r="D69" s="150"/>
      <c r="E69" s="58">
        <v>0</v>
      </c>
      <c r="F69" s="178">
        <f t="shared" ref="F69:F75" si="1">J43</f>
        <v>0</v>
      </c>
      <c r="G69" s="178">
        <f t="shared" ref="G69:J71" si="2">($E$69*F69)+F69</f>
        <v>0</v>
      </c>
      <c r="H69" s="178">
        <f t="shared" si="2"/>
        <v>0</v>
      </c>
      <c r="I69" s="178">
        <f t="shared" si="2"/>
        <v>0</v>
      </c>
      <c r="J69" s="201">
        <f t="shared" si="2"/>
        <v>0</v>
      </c>
      <c r="K69" s="90"/>
      <c r="L69" s="53"/>
      <c r="M69" s="77"/>
      <c r="N69" s="77"/>
      <c r="O69" s="77"/>
      <c r="P69" s="77"/>
      <c r="Q69" s="52"/>
      <c r="R69" s="52"/>
      <c r="S69" s="52"/>
    </row>
    <row r="70" spans="2:19" x14ac:dyDescent="0.2">
      <c r="B70" s="92"/>
      <c r="C70" s="195" t="s">
        <v>109</v>
      </c>
      <c r="D70" s="150"/>
      <c r="E70" s="58">
        <v>0</v>
      </c>
      <c r="F70" s="178">
        <f t="shared" si="1"/>
        <v>0</v>
      </c>
      <c r="G70" s="178">
        <f t="shared" si="2"/>
        <v>0</v>
      </c>
      <c r="H70" s="178">
        <f t="shared" si="2"/>
        <v>0</v>
      </c>
      <c r="I70" s="178">
        <f t="shared" si="2"/>
        <v>0</v>
      </c>
      <c r="J70" s="201">
        <f t="shared" si="2"/>
        <v>0</v>
      </c>
      <c r="K70" s="90"/>
      <c r="L70" s="53"/>
      <c r="M70" s="77"/>
      <c r="N70" s="77"/>
      <c r="O70" s="77"/>
      <c r="P70" s="77"/>
      <c r="Q70" s="52"/>
      <c r="R70" s="52"/>
      <c r="S70" s="52"/>
    </row>
    <row r="71" spans="2:19" x14ac:dyDescent="0.2">
      <c r="B71" s="92"/>
      <c r="C71" s="195" t="s">
        <v>88</v>
      </c>
      <c r="D71" s="150"/>
      <c r="E71" s="58">
        <v>0</v>
      </c>
      <c r="F71" s="178">
        <f t="shared" si="1"/>
        <v>0</v>
      </c>
      <c r="G71" s="178">
        <f t="shared" si="2"/>
        <v>0</v>
      </c>
      <c r="H71" s="178">
        <f t="shared" si="2"/>
        <v>0</v>
      </c>
      <c r="I71" s="178">
        <f t="shared" si="2"/>
        <v>0</v>
      </c>
      <c r="J71" s="201">
        <f t="shared" si="2"/>
        <v>0</v>
      </c>
      <c r="K71" s="90"/>
      <c r="L71" s="53"/>
      <c r="M71" s="77"/>
      <c r="N71" s="77"/>
      <c r="O71" s="77"/>
      <c r="P71" s="77"/>
      <c r="Q71" s="52"/>
      <c r="R71" s="52"/>
      <c r="S71" s="52"/>
    </row>
    <row r="72" spans="2:19" x14ac:dyDescent="0.2">
      <c r="B72" s="92"/>
      <c r="C72" s="195" t="s">
        <v>89</v>
      </c>
      <c r="D72" s="150"/>
      <c r="E72" s="58">
        <v>0.03</v>
      </c>
      <c r="F72" s="178">
        <f t="shared" si="1"/>
        <v>2000</v>
      </c>
      <c r="G72" s="178">
        <f>($E$72*F72)+F72</f>
        <v>2060</v>
      </c>
      <c r="H72" s="178">
        <f>($E$72*G72)+G72</f>
        <v>2121.8000000000002</v>
      </c>
      <c r="I72" s="178">
        <f>($E$72*H72)+H72</f>
        <v>2185.4540000000002</v>
      </c>
      <c r="J72" s="201">
        <f>($E$72*I72)+I72</f>
        <v>2251.0176200000001</v>
      </c>
      <c r="K72" s="90"/>
      <c r="L72" s="53"/>
      <c r="M72" s="77"/>
      <c r="N72" s="77"/>
      <c r="O72" s="77"/>
      <c r="P72" s="77"/>
      <c r="Q72" s="52"/>
      <c r="R72" s="52"/>
      <c r="S72" s="52"/>
    </row>
    <row r="73" spans="2:19" x14ac:dyDescent="0.2">
      <c r="B73" s="92"/>
      <c r="C73" s="195" t="s">
        <v>110</v>
      </c>
      <c r="D73" s="150"/>
      <c r="E73" s="150">
        <v>0</v>
      </c>
      <c r="F73" s="178">
        <f t="shared" si="1"/>
        <v>4416</v>
      </c>
      <c r="G73" s="178">
        <f>(G67-G68)*0.08</f>
        <v>4560</v>
      </c>
      <c r="H73" s="178">
        <f>(H67-H68)*0.08</f>
        <v>4708.32</v>
      </c>
      <c r="I73" s="178">
        <f>(I67-I68)*0.08</f>
        <v>4861.0895999999993</v>
      </c>
      <c r="J73" s="201">
        <f>(J67-J68)*0.08</f>
        <v>5018.4422879999993</v>
      </c>
      <c r="K73" s="90"/>
      <c r="L73" s="53"/>
      <c r="M73" s="77"/>
      <c r="N73" s="77"/>
      <c r="O73" s="77"/>
      <c r="P73" s="77"/>
      <c r="Q73" s="52"/>
      <c r="R73" s="52"/>
      <c r="S73" s="52"/>
    </row>
    <row r="74" spans="2:19" x14ac:dyDescent="0.2">
      <c r="B74" s="92"/>
      <c r="C74" s="195" t="s">
        <v>91</v>
      </c>
      <c r="D74" s="150"/>
      <c r="E74" s="58">
        <v>0.01</v>
      </c>
      <c r="F74" s="178">
        <f t="shared" si="1"/>
        <v>4131</v>
      </c>
      <c r="G74" s="178">
        <f>($E$74*F74)+F74</f>
        <v>4172.3100000000004</v>
      </c>
      <c r="H74" s="178">
        <f>($E$74*G74)+G74</f>
        <v>4214.0331000000006</v>
      </c>
      <c r="I74" s="178">
        <f>($E$74*H74)+H74</f>
        <v>4256.1734310000002</v>
      </c>
      <c r="J74" s="201">
        <f>($E$74*I74)+I74</f>
        <v>4298.7351653100004</v>
      </c>
      <c r="K74" s="90"/>
      <c r="L74" s="53"/>
      <c r="M74" s="77"/>
      <c r="N74" s="77"/>
      <c r="O74" s="77"/>
      <c r="P74" s="77"/>
      <c r="Q74" s="52"/>
      <c r="R74" s="52"/>
      <c r="S74" s="52"/>
    </row>
    <row r="75" spans="2:19" x14ac:dyDescent="0.2">
      <c r="B75" s="92"/>
      <c r="C75" s="195" t="s">
        <v>92</v>
      </c>
      <c r="D75" s="150"/>
      <c r="E75" s="58">
        <v>0</v>
      </c>
      <c r="F75" s="178">
        <f t="shared" si="1"/>
        <v>3000</v>
      </c>
      <c r="G75" s="178">
        <f>($E$69*F75)+F75</f>
        <v>3000</v>
      </c>
      <c r="H75" s="178">
        <f>($E$69*G75)+G75</f>
        <v>3000</v>
      </c>
      <c r="I75" s="178">
        <f>($E$69*H75)+H75</f>
        <v>3000</v>
      </c>
      <c r="J75" s="201">
        <f>($E$69*I75)+I75</f>
        <v>3000</v>
      </c>
      <c r="K75" s="90"/>
      <c r="L75" s="53"/>
      <c r="M75" s="77"/>
      <c r="N75" s="77"/>
      <c r="O75" s="77"/>
      <c r="P75" s="77"/>
      <c r="Q75" s="52"/>
      <c r="R75" s="52"/>
      <c r="S75" s="52"/>
    </row>
    <row r="76" spans="2:19" x14ac:dyDescent="0.2">
      <c r="B76" s="92"/>
      <c r="C76" s="195" t="s">
        <v>10</v>
      </c>
      <c r="D76" s="150"/>
      <c r="E76" s="58">
        <v>0.03</v>
      </c>
      <c r="F76" s="65">
        <f>J50</f>
        <v>3000</v>
      </c>
      <c r="G76" s="65">
        <f>F76+(F76*0.03)</f>
        <v>3090</v>
      </c>
      <c r="H76" s="65">
        <f>G76+(G76*0.03)</f>
        <v>3182.7</v>
      </c>
      <c r="I76" s="65">
        <f>H76+(H76*0.03)</f>
        <v>3278.1809999999996</v>
      </c>
      <c r="J76" s="66">
        <f>I76+(I76*0.03)</f>
        <v>3376.5264299999994</v>
      </c>
      <c r="K76" s="90"/>
      <c r="L76" s="53"/>
      <c r="M76" s="77"/>
      <c r="N76" s="77"/>
      <c r="O76" s="77"/>
      <c r="P76" s="77"/>
      <c r="Q76" s="52"/>
      <c r="R76" s="52"/>
      <c r="S76" s="52"/>
    </row>
    <row r="77" spans="2:19" x14ac:dyDescent="0.2">
      <c r="B77" s="92"/>
      <c r="C77" s="196" t="s">
        <v>93</v>
      </c>
      <c r="D77" s="150"/>
      <c r="E77" s="150"/>
      <c r="F77" s="178">
        <f>SUM(F68:F76)</f>
        <v>21347</v>
      </c>
      <c r="G77" s="178">
        <f>SUM(G68:G76)</f>
        <v>21682.31</v>
      </c>
      <c r="H77" s="178">
        <f>SUM(H68:H76)</f>
        <v>22026.8531</v>
      </c>
      <c r="I77" s="178">
        <f>SUM(I68:I76)</f>
        <v>22380.898031000001</v>
      </c>
      <c r="J77" s="201">
        <f>SUM(J68:J76)</f>
        <v>22744.72150331</v>
      </c>
      <c r="K77" s="90"/>
      <c r="L77" s="53"/>
      <c r="M77" s="77"/>
      <c r="N77" s="77"/>
      <c r="O77" s="77"/>
      <c r="P77" s="77"/>
      <c r="Q77" s="52"/>
      <c r="R77" s="52"/>
      <c r="S77" s="52"/>
    </row>
    <row r="78" spans="2:19" x14ac:dyDescent="0.2">
      <c r="B78" s="92"/>
      <c r="C78" s="196" t="s">
        <v>94</v>
      </c>
      <c r="D78" s="150"/>
      <c r="E78" s="150"/>
      <c r="F78" s="178">
        <f>F67-F77</f>
        <v>38653</v>
      </c>
      <c r="G78" s="178">
        <f>G67-G77</f>
        <v>40117.69</v>
      </c>
      <c r="H78" s="178">
        <f>H67-H77</f>
        <v>41627.1469</v>
      </c>
      <c r="I78" s="178">
        <f>I67-I77</f>
        <v>43182.721968999991</v>
      </c>
      <c r="J78" s="201">
        <f>J67-J77</f>
        <v>44785.80709668999</v>
      </c>
      <c r="K78" s="90"/>
      <c r="L78" s="53"/>
      <c r="M78" s="77"/>
      <c r="N78" s="77"/>
      <c r="O78" s="77"/>
      <c r="P78" s="77"/>
      <c r="Q78" s="52"/>
      <c r="R78" s="52"/>
      <c r="S78" s="52"/>
    </row>
    <row r="79" spans="2:19" x14ac:dyDescent="0.2">
      <c r="B79" s="92"/>
      <c r="C79" s="195" t="s">
        <v>25</v>
      </c>
      <c r="D79" s="150"/>
      <c r="E79" s="150"/>
      <c r="F79" s="140">
        <f>F78/-(F34*12)</f>
        <v>1.3356439963632472</v>
      </c>
      <c r="G79" s="178">
        <f>G78/-($F34*12)</f>
        <v>1.386255964516645</v>
      </c>
      <c r="H79" s="178">
        <f>H78/-($F34*12)</f>
        <v>1.4384148408329485</v>
      </c>
      <c r="I79" s="178">
        <f>I78/-($F34*12)</f>
        <v>1.4921673180482276</v>
      </c>
      <c r="J79" s="201">
        <f>J78/-($F34*12)</f>
        <v>1.547561492535547</v>
      </c>
      <c r="K79" s="90"/>
      <c r="L79" s="53"/>
      <c r="M79" s="77"/>
      <c r="N79" s="77"/>
      <c r="O79" s="77"/>
      <c r="P79" s="77"/>
      <c r="Q79" s="52"/>
      <c r="R79" s="52"/>
      <c r="S79" s="52"/>
    </row>
    <row r="80" spans="2:19" x14ac:dyDescent="0.2">
      <c r="B80" s="92"/>
      <c r="C80" s="195" t="s">
        <v>26</v>
      </c>
      <c r="D80" s="150"/>
      <c r="E80" s="150"/>
      <c r="F80" s="141">
        <f>((-$F34*12)+F77)/$J52</f>
        <v>0.91098908978303317</v>
      </c>
      <c r="G80" s="202">
        <f>((-$F34*12)+G77)/$J52</f>
        <v>0.91706354630477238</v>
      </c>
      <c r="H80" s="202">
        <f>((-$F34*12)+H77)/$J52</f>
        <v>0.92330526913085942</v>
      </c>
      <c r="I80" s="202">
        <f>((-$F34*12)+I77)/$J52</f>
        <v>0.92971912657651157</v>
      </c>
      <c r="J80" s="167">
        <f>((-$F34*12)+J77)/$J52</f>
        <v>0.9363101315096638</v>
      </c>
      <c r="K80" s="90"/>
      <c r="L80" s="53"/>
      <c r="M80" s="77"/>
      <c r="N80" s="77"/>
      <c r="O80" s="77"/>
      <c r="P80" s="77"/>
      <c r="Q80" s="52"/>
      <c r="R80" s="52"/>
      <c r="S80" s="52"/>
    </row>
    <row r="81" spans="2:19" x14ac:dyDescent="0.2">
      <c r="B81" s="92"/>
      <c r="C81" s="195" t="s">
        <v>95</v>
      </c>
      <c r="D81" s="150"/>
      <c r="E81" s="150"/>
      <c r="F81" s="166">
        <f>$J$54</f>
        <v>-28939.597756023435</v>
      </c>
      <c r="G81" s="166">
        <f>$J$54</f>
        <v>-28939.597756023435</v>
      </c>
      <c r="H81" s="166">
        <f>$J$54</f>
        <v>-28939.597756023435</v>
      </c>
      <c r="I81" s="166">
        <f>$J$54</f>
        <v>-28939.597756023435</v>
      </c>
      <c r="J81" s="169">
        <f>$J$54</f>
        <v>-28939.597756023435</v>
      </c>
      <c r="K81" s="90"/>
      <c r="L81" s="53"/>
      <c r="M81" s="77"/>
      <c r="N81" s="77"/>
      <c r="O81" s="77"/>
      <c r="P81" s="77"/>
      <c r="Q81" s="52"/>
      <c r="R81" s="52"/>
      <c r="S81" s="52"/>
    </row>
    <row r="82" spans="2:19" x14ac:dyDescent="0.2">
      <c r="B82" s="92"/>
      <c r="C82" s="196" t="s">
        <v>111</v>
      </c>
      <c r="D82" s="150"/>
      <c r="E82" s="150"/>
      <c r="F82" s="166">
        <f>F78+F81</f>
        <v>9713.4022439765649</v>
      </c>
      <c r="G82" s="166">
        <f>G78+G81</f>
        <v>11178.092243976567</v>
      </c>
      <c r="H82" s="166">
        <f>H78+H81</f>
        <v>12687.549143976565</v>
      </c>
      <c r="I82" s="166">
        <f>I78+I81</f>
        <v>14243.124212976556</v>
      </c>
      <c r="J82" s="169">
        <f>J78+J81</f>
        <v>15846.209340666555</v>
      </c>
      <c r="K82" s="90"/>
      <c r="L82" s="53"/>
      <c r="M82" s="77"/>
      <c r="N82" s="77"/>
      <c r="O82" s="77"/>
      <c r="P82" s="77"/>
      <c r="Q82" s="52"/>
      <c r="R82" s="52"/>
      <c r="S82" s="52"/>
    </row>
    <row r="83" spans="2:19" ht="10.9" customHeight="1" x14ac:dyDescent="0.2">
      <c r="B83" s="92"/>
      <c r="C83" s="195"/>
      <c r="D83" s="150"/>
      <c r="E83" s="150"/>
      <c r="F83" s="150"/>
      <c r="G83" s="150"/>
      <c r="H83" s="150"/>
      <c r="I83" s="150"/>
      <c r="J83" s="177"/>
      <c r="K83" s="90"/>
      <c r="L83" s="53"/>
      <c r="M83" s="77"/>
      <c r="N83" s="77"/>
      <c r="O83" s="77"/>
      <c r="P83" s="77"/>
      <c r="Q83" s="52"/>
      <c r="R83" s="52"/>
      <c r="S83" s="52"/>
    </row>
    <row r="84" spans="2:19" x14ac:dyDescent="0.2">
      <c r="B84" s="92"/>
      <c r="C84" s="195" t="s">
        <v>112</v>
      </c>
      <c r="D84" s="150"/>
      <c r="E84" s="150"/>
      <c r="F84" s="178">
        <f>$J$57</f>
        <v>11025.641025641025</v>
      </c>
      <c r="G84" s="178">
        <f>$J$57</f>
        <v>11025.641025641025</v>
      </c>
      <c r="H84" s="178">
        <f>$J$57</f>
        <v>11025.641025641025</v>
      </c>
      <c r="I84" s="178">
        <f>$J$57</f>
        <v>11025.641025641025</v>
      </c>
      <c r="J84" s="201">
        <f>$J$57</f>
        <v>11025.641025641025</v>
      </c>
      <c r="K84" s="90"/>
      <c r="L84" s="53"/>
      <c r="M84" s="77"/>
      <c r="N84" s="77"/>
      <c r="O84" s="77"/>
      <c r="P84" s="77"/>
      <c r="Q84" s="52"/>
      <c r="R84" s="52"/>
      <c r="S84" s="52"/>
    </row>
    <row r="85" spans="2:19" x14ac:dyDescent="0.2">
      <c r="B85" s="92"/>
      <c r="C85" s="195" t="s">
        <v>113</v>
      </c>
      <c r="D85" s="150"/>
      <c r="E85" s="150"/>
      <c r="F85" s="202">
        <f>J31</f>
        <v>13511.64671419037</v>
      </c>
      <c r="G85" s="166">
        <f>J32</f>
        <v>14238.328567279154</v>
      </c>
      <c r="H85" s="166">
        <f>J33</f>
        <v>15004.092741472967</v>
      </c>
      <c r="I85" s="166">
        <f>J34</f>
        <v>15811.041157743224</v>
      </c>
      <c r="J85" s="169">
        <f>J35</f>
        <v>16661.388782332244</v>
      </c>
      <c r="K85" s="90"/>
      <c r="L85" s="53"/>
      <c r="M85" s="77"/>
      <c r="N85" s="77"/>
      <c r="O85" s="77"/>
      <c r="P85" s="77"/>
      <c r="Q85" s="52"/>
      <c r="R85" s="52"/>
      <c r="S85" s="52"/>
    </row>
    <row r="86" spans="2:19" x14ac:dyDescent="0.2">
      <c r="B86" s="92"/>
      <c r="C86" s="196" t="s">
        <v>114</v>
      </c>
      <c r="D86" s="150"/>
      <c r="E86" s="150"/>
      <c r="F86" s="166">
        <f>F82-F84+F85</f>
        <v>12199.40793252591</v>
      </c>
      <c r="G86" s="166">
        <f>G82-G84+G85</f>
        <v>14390.779785614695</v>
      </c>
      <c r="H86" s="166">
        <f>H82-H84+H85</f>
        <v>16666.000859808504</v>
      </c>
      <c r="I86" s="166">
        <f>I82-I84+I85</f>
        <v>19028.524345078753</v>
      </c>
      <c r="J86" s="169">
        <f>J82-J84+J85</f>
        <v>21481.957097357772</v>
      </c>
      <c r="K86" s="90"/>
      <c r="L86" s="53"/>
      <c r="M86" s="77"/>
      <c r="N86" s="77"/>
      <c r="O86" s="77"/>
      <c r="P86" s="77"/>
      <c r="Q86" s="52"/>
      <c r="R86" s="52"/>
      <c r="S86" s="52"/>
    </row>
    <row r="87" spans="2:19" ht="10.15" customHeight="1" x14ac:dyDescent="0.2">
      <c r="B87" s="92"/>
      <c r="C87" s="195"/>
      <c r="D87" s="150"/>
      <c r="E87" s="150"/>
      <c r="F87" s="150"/>
      <c r="G87" s="150"/>
      <c r="H87" s="150"/>
      <c r="I87" s="150"/>
      <c r="J87" s="177"/>
      <c r="K87" s="90"/>
      <c r="L87" s="53"/>
      <c r="M87" s="77"/>
      <c r="N87" s="77"/>
      <c r="O87" s="77"/>
      <c r="P87" s="77"/>
      <c r="Q87" s="52"/>
      <c r="R87" s="52"/>
      <c r="S87" s="52"/>
    </row>
    <row r="88" spans="2:19" x14ac:dyDescent="0.2">
      <c r="B88" s="92"/>
      <c r="C88" s="195" t="s">
        <v>96</v>
      </c>
      <c r="D88" s="150"/>
      <c r="E88" s="150"/>
      <c r="F88" s="166">
        <f>F82</f>
        <v>9713.4022439765649</v>
      </c>
      <c r="G88" s="166">
        <f>G82</f>
        <v>11178.092243976567</v>
      </c>
      <c r="H88" s="166">
        <f>H82</f>
        <v>12687.549143976565</v>
      </c>
      <c r="I88" s="166">
        <f>I82</f>
        <v>14243.124212976556</v>
      </c>
      <c r="J88" s="169">
        <f>J82</f>
        <v>15846.209340666555</v>
      </c>
      <c r="K88" s="90"/>
      <c r="L88" s="53"/>
      <c r="M88" s="77"/>
      <c r="N88" s="77"/>
      <c r="O88" s="77"/>
      <c r="P88" s="77"/>
      <c r="Q88" s="52"/>
      <c r="R88" s="52"/>
      <c r="S88" s="52"/>
    </row>
    <row r="89" spans="2:19" x14ac:dyDescent="0.2">
      <c r="B89" s="92"/>
      <c r="C89" s="195" t="s">
        <v>99</v>
      </c>
      <c r="D89" s="150"/>
      <c r="E89" s="150"/>
      <c r="F89" s="166">
        <f>-$J$8*F86</f>
        <v>-3415.834221107255</v>
      </c>
      <c r="G89" s="166">
        <f>-$J$8*G86</f>
        <v>-4029.4183399721151</v>
      </c>
      <c r="H89" s="166">
        <f>-$J$8*H86</f>
        <v>-4666.4802407463812</v>
      </c>
      <c r="I89" s="166">
        <f>-$J$8*I86</f>
        <v>-5327.9868166220513</v>
      </c>
      <c r="J89" s="169">
        <f>-$J$8*J86</f>
        <v>-6014.9479872601769</v>
      </c>
      <c r="K89" s="90"/>
      <c r="L89" s="53"/>
      <c r="M89" s="77"/>
      <c r="N89" s="77"/>
      <c r="O89" s="77"/>
      <c r="P89" s="77"/>
      <c r="Q89" s="52"/>
      <c r="R89" s="52"/>
      <c r="S89" s="52"/>
    </row>
    <row r="90" spans="2:19" ht="13.5" thickBot="1" x14ac:dyDescent="0.25">
      <c r="B90" s="92"/>
      <c r="C90" s="200" t="s">
        <v>115</v>
      </c>
      <c r="D90" s="174"/>
      <c r="E90" s="174"/>
      <c r="F90" s="203">
        <f>SUM(F88:F89)</f>
        <v>6297.56802286931</v>
      </c>
      <c r="G90" s="203">
        <f>SUM(G88:G89)</f>
        <v>7148.6739040044522</v>
      </c>
      <c r="H90" s="203">
        <f>SUM(H88:H89)</f>
        <v>8021.0689032301834</v>
      </c>
      <c r="I90" s="203">
        <f>SUM(I88:I89)</f>
        <v>8915.1373963545047</v>
      </c>
      <c r="J90" s="204">
        <f>SUM(J88:J89)</f>
        <v>9831.2613534063785</v>
      </c>
      <c r="K90" s="90"/>
      <c r="L90" s="53"/>
      <c r="M90" s="77"/>
      <c r="N90" s="77"/>
      <c r="O90" s="77"/>
      <c r="P90" s="77"/>
      <c r="Q90" s="52"/>
      <c r="R90" s="52"/>
      <c r="S90" s="52"/>
    </row>
    <row r="91" spans="2:19" ht="14.25" thickTop="1" thickBot="1" x14ac:dyDescent="0.25">
      <c r="B91" s="92"/>
      <c r="C91" s="142" t="s">
        <v>116</v>
      </c>
      <c r="D91" s="143"/>
      <c r="E91" s="143"/>
      <c r="F91" s="143"/>
      <c r="G91" s="143"/>
      <c r="H91" s="143"/>
      <c r="I91" s="143"/>
      <c r="J91" s="144"/>
      <c r="K91" s="90"/>
      <c r="L91" s="53"/>
      <c r="M91" s="146" t="s">
        <v>50</v>
      </c>
      <c r="N91" s="147"/>
      <c r="O91" s="147"/>
      <c r="P91" s="148"/>
      <c r="Q91" s="52"/>
      <c r="R91" s="52"/>
      <c r="S91" s="52"/>
    </row>
    <row r="92" spans="2:19" ht="13.5" thickTop="1" x14ac:dyDescent="0.2">
      <c r="B92" s="92"/>
      <c r="C92" s="199" t="s">
        <v>68</v>
      </c>
      <c r="D92" s="205"/>
      <c r="E92" s="205"/>
      <c r="F92" s="205"/>
      <c r="G92" s="205"/>
      <c r="H92" s="205"/>
      <c r="I92" s="207">
        <f>E22</f>
        <v>400000</v>
      </c>
      <c r="J92" s="208"/>
      <c r="K92" s="90"/>
      <c r="L92" s="53"/>
      <c r="M92" s="80" t="s">
        <v>46</v>
      </c>
      <c r="N92" s="81" t="s">
        <v>47</v>
      </c>
      <c r="O92" s="81" t="s">
        <v>48</v>
      </c>
      <c r="P92" s="82" t="s">
        <v>49</v>
      </c>
      <c r="Q92" s="52"/>
      <c r="R92" s="52"/>
      <c r="S92" s="52"/>
    </row>
    <row r="93" spans="2:19" ht="13.5" thickBot="1" x14ac:dyDescent="0.25">
      <c r="B93" s="92"/>
      <c r="C93" s="195" t="s">
        <v>117</v>
      </c>
      <c r="D93" s="150"/>
      <c r="E93" s="150"/>
      <c r="F93" s="150"/>
      <c r="G93" s="150"/>
      <c r="H93" s="150"/>
      <c r="I93" s="209">
        <f>P93</f>
        <v>486202.5</v>
      </c>
      <c r="J93" s="210"/>
      <c r="K93" s="90"/>
      <c r="L93" s="53"/>
      <c r="M93" s="83">
        <f>(I92*$D$9)+I92</f>
        <v>420000</v>
      </c>
      <c r="N93" s="84">
        <f>(M93*$D$9)+M93</f>
        <v>441000</v>
      </c>
      <c r="O93" s="84">
        <f>(N93*$D$9)+N93</f>
        <v>463050</v>
      </c>
      <c r="P93" s="85">
        <f>(O93*$D$9)+O93</f>
        <v>486202.5</v>
      </c>
      <c r="Q93" s="52"/>
      <c r="R93" s="52"/>
      <c r="S93" s="52"/>
    </row>
    <row r="94" spans="2:19" ht="13.5" thickTop="1" x14ac:dyDescent="0.2">
      <c r="B94" s="92"/>
      <c r="C94" s="195" t="s">
        <v>118</v>
      </c>
      <c r="D94" s="150"/>
      <c r="E94" s="150"/>
      <c r="F94" s="150"/>
      <c r="G94" s="150"/>
      <c r="H94" s="150"/>
      <c r="I94" s="209">
        <f>I35</f>
        <v>224773.50203698204</v>
      </c>
      <c r="J94" s="210"/>
      <c r="K94" s="90"/>
      <c r="L94" s="53"/>
      <c r="M94" s="77"/>
      <c r="N94" s="77"/>
      <c r="O94" s="77"/>
      <c r="P94" s="77"/>
      <c r="Q94" s="52"/>
      <c r="R94" s="52"/>
      <c r="S94" s="52"/>
    </row>
    <row r="95" spans="2:19" x14ac:dyDescent="0.2">
      <c r="B95" s="92"/>
      <c r="C95" s="195" t="s">
        <v>119</v>
      </c>
      <c r="D95" s="150"/>
      <c r="E95" s="150"/>
      <c r="F95" s="150"/>
      <c r="G95" s="150"/>
      <c r="H95" s="60">
        <v>0.02</v>
      </c>
      <c r="I95" s="209">
        <f>I93*H95</f>
        <v>9724.0500000000011</v>
      </c>
      <c r="J95" s="210"/>
      <c r="K95" s="90"/>
      <c r="L95" s="53"/>
      <c r="M95" s="77"/>
      <c r="N95" s="77"/>
      <c r="O95" s="77"/>
      <c r="P95" s="77"/>
      <c r="Q95" s="52"/>
      <c r="R95" s="52"/>
      <c r="S95" s="52"/>
    </row>
    <row r="96" spans="2:19" x14ac:dyDescent="0.2">
      <c r="B96" s="92"/>
      <c r="C96" s="195" t="s">
        <v>120</v>
      </c>
      <c r="D96" s="150"/>
      <c r="E96" s="150"/>
      <c r="F96" s="150"/>
      <c r="G96" s="150"/>
      <c r="H96" s="67">
        <v>0.03</v>
      </c>
      <c r="I96" s="211">
        <f>I93*H96</f>
        <v>14586.074999999999</v>
      </c>
      <c r="J96" s="212"/>
      <c r="K96" s="90"/>
      <c r="L96" s="53"/>
      <c r="M96" s="77"/>
      <c r="N96" s="77"/>
      <c r="O96" s="77"/>
      <c r="P96" s="77"/>
      <c r="Q96" s="52"/>
      <c r="R96" s="52"/>
      <c r="S96" s="52"/>
    </row>
    <row r="97" spans="2:19" x14ac:dyDescent="0.2">
      <c r="B97" s="92"/>
      <c r="C97" s="195" t="s">
        <v>121</v>
      </c>
      <c r="D97" s="150"/>
      <c r="E97" s="150"/>
      <c r="F97" s="150"/>
      <c r="G97" s="150"/>
      <c r="H97" s="150"/>
      <c r="I97" s="209">
        <f>I93-I94-I95-I96</f>
        <v>237118.87296301796</v>
      </c>
      <c r="J97" s="210"/>
      <c r="K97" s="90"/>
      <c r="L97" s="53"/>
      <c r="M97" s="77"/>
      <c r="N97" s="77"/>
      <c r="O97" s="77"/>
      <c r="P97" s="77"/>
      <c r="Q97" s="52"/>
      <c r="R97" s="52"/>
      <c r="S97" s="52"/>
    </row>
    <row r="98" spans="2:19" x14ac:dyDescent="0.2">
      <c r="B98" s="92"/>
      <c r="C98" s="195" t="s">
        <v>28</v>
      </c>
      <c r="D98" s="150"/>
      <c r="E98" s="150"/>
      <c r="F98" s="150"/>
      <c r="G98" s="150"/>
      <c r="H98" s="150"/>
      <c r="I98" s="209">
        <f>G100+I95-I101</f>
        <v>358595.84487179486</v>
      </c>
      <c r="J98" s="210"/>
      <c r="K98" s="90"/>
      <c r="L98" s="53"/>
      <c r="M98" s="77"/>
      <c r="N98" s="77"/>
      <c r="O98" s="77"/>
      <c r="P98" s="77"/>
      <c r="Q98" s="52"/>
      <c r="R98" s="52"/>
      <c r="S98" s="52"/>
    </row>
    <row r="99" spans="2:19" ht="10.15" customHeight="1" x14ac:dyDescent="0.2">
      <c r="B99" s="92"/>
      <c r="C99" s="195"/>
      <c r="D99" s="150"/>
      <c r="E99" s="150"/>
      <c r="F99" s="150"/>
      <c r="G99" s="150"/>
      <c r="H99" s="150"/>
      <c r="I99" s="213"/>
      <c r="J99" s="214"/>
      <c r="K99" s="90"/>
      <c r="L99" s="53"/>
      <c r="M99" s="77"/>
      <c r="N99" s="77"/>
      <c r="O99" s="77"/>
      <c r="P99" s="77"/>
      <c r="Q99" s="52"/>
      <c r="R99" s="52"/>
      <c r="S99" s="52"/>
    </row>
    <row r="100" spans="2:19" x14ac:dyDescent="0.2">
      <c r="B100" s="92"/>
      <c r="C100" s="195" t="s">
        <v>122</v>
      </c>
      <c r="D100" s="150"/>
      <c r="E100" s="150"/>
      <c r="F100" s="202">
        <f>I93-I95</f>
        <v>476478.45</v>
      </c>
      <c r="G100" s="150">
        <f>E24</f>
        <v>404000</v>
      </c>
      <c r="H100" s="150"/>
      <c r="I100" s="209">
        <f>F100-G100</f>
        <v>72478.450000000012</v>
      </c>
      <c r="J100" s="210"/>
      <c r="K100" s="90"/>
      <c r="L100" s="53"/>
      <c r="M100" s="77"/>
      <c r="N100" s="77"/>
      <c r="O100" s="77"/>
      <c r="P100" s="77"/>
      <c r="Q100" s="52"/>
      <c r="R100" s="52"/>
      <c r="S100" s="52"/>
    </row>
    <row r="101" spans="2:19" x14ac:dyDescent="0.2">
      <c r="B101" s="92"/>
      <c r="C101" s="195" t="s">
        <v>123</v>
      </c>
      <c r="D101" s="150"/>
      <c r="E101" s="150"/>
      <c r="F101" s="150"/>
      <c r="G101" s="150"/>
      <c r="H101" s="150"/>
      <c r="I101" s="209">
        <f>5*J57</f>
        <v>55128.205128205125</v>
      </c>
      <c r="J101" s="210"/>
      <c r="K101" s="90"/>
      <c r="L101" s="53"/>
      <c r="M101" s="77"/>
      <c r="N101" s="77"/>
      <c r="O101" s="77"/>
      <c r="P101" s="77"/>
      <c r="Q101" s="52"/>
      <c r="R101" s="52"/>
      <c r="S101" s="52"/>
    </row>
    <row r="102" spans="2:19" x14ac:dyDescent="0.2">
      <c r="B102" s="92"/>
      <c r="C102" s="195" t="s">
        <v>124</v>
      </c>
      <c r="D102" s="150"/>
      <c r="E102" s="150"/>
      <c r="F102" s="150"/>
      <c r="G102" s="150"/>
      <c r="H102" s="150"/>
      <c r="I102" s="209">
        <f>SUM(I100:I101)</f>
        <v>127606.65512820514</v>
      </c>
      <c r="J102" s="210"/>
      <c r="K102" s="90"/>
      <c r="L102" s="53"/>
      <c r="M102" s="77"/>
      <c r="N102" s="77"/>
      <c r="O102" s="77"/>
      <c r="P102" s="77"/>
      <c r="Q102" s="52"/>
      <c r="R102" s="52"/>
      <c r="S102" s="52"/>
    </row>
    <row r="103" spans="2:19" ht="13.5" thickBot="1" x14ac:dyDescent="0.25">
      <c r="B103" s="92"/>
      <c r="C103" s="197" t="s">
        <v>125</v>
      </c>
      <c r="D103" s="174"/>
      <c r="E103" s="174"/>
      <c r="F103" s="174"/>
      <c r="G103" s="174"/>
      <c r="H103" s="215">
        <f>J9</f>
        <v>0.28000000000000003</v>
      </c>
      <c r="I103" s="216">
        <f>I102*H103</f>
        <v>35729.863435897445</v>
      </c>
      <c r="J103" s="217"/>
      <c r="K103" s="90"/>
      <c r="L103" s="53"/>
      <c r="M103" s="77"/>
      <c r="N103" s="77"/>
      <c r="O103" s="77"/>
      <c r="P103" s="77"/>
      <c r="Q103" s="52"/>
      <c r="R103" s="52"/>
      <c r="S103" s="52"/>
    </row>
    <row r="104" spans="2:19" ht="14.25" thickTop="1" thickBot="1" x14ac:dyDescent="0.25">
      <c r="B104" s="92"/>
      <c r="C104" s="142" t="s">
        <v>0</v>
      </c>
      <c r="D104" s="143"/>
      <c r="E104" s="143"/>
      <c r="F104" s="143"/>
      <c r="G104" s="143"/>
      <c r="H104" s="143"/>
      <c r="I104" s="143"/>
      <c r="J104" s="144"/>
      <c r="K104" s="90"/>
      <c r="L104" s="53"/>
      <c r="M104" s="77"/>
      <c r="N104" s="77"/>
      <c r="O104" s="77"/>
      <c r="P104" s="77"/>
      <c r="Q104" s="52"/>
      <c r="R104" s="52"/>
      <c r="S104" s="52"/>
    </row>
    <row r="105" spans="2:19" ht="13.5" thickTop="1" x14ac:dyDescent="0.2">
      <c r="B105" s="92"/>
      <c r="C105" s="101" t="s">
        <v>51</v>
      </c>
      <c r="D105" s="102"/>
      <c r="E105" s="102"/>
      <c r="F105" s="74" t="s">
        <v>103</v>
      </c>
      <c r="G105" s="74" t="s">
        <v>104</v>
      </c>
      <c r="H105" s="74" t="s">
        <v>105</v>
      </c>
      <c r="I105" s="74" t="s">
        <v>106</v>
      </c>
      <c r="J105" s="75" t="s">
        <v>107</v>
      </c>
      <c r="K105" s="90"/>
      <c r="L105" s="53"/>
      <c r="M105" s="77"/>
      <c r="N105" s="77"/>
      <c r="O105" s="77"/>
      <c r="P105" s="77"/>
      <c r="Q105" s="52"/>
      <c r="R105" s="52"/>
      <c r="S105" s="52"/>
    </row>
    <row r="106" spans="2:19" ht="12" customHeight="1" x14ac:dyDescent="0.2">
      <c r="B106" s="92"/>
      <c r="C106" s="103"/>
      <c r="D106" s="104"/>
      <c r="E106" s="104"/>
      <c r="F106" s="68" t="s">
        <v>1</v>
      </c>
      <c r="G106" s="68" t="s">
        <v>2</v>
      </c>
      <c r="H106" s="68" t="s">
        <v>3</v>
      </c>
      <c r="I106" s="68" t="s">
        <v>4</v>
      </c>
      <c r="J106" s="69" t="s">
        <v>5</v>
      </c>
      <c r="K106" s="90"/>
      <c r="L106" s="53"/>
      <c r="M106" s="77"/>
      <c r="N106" s="77"/>
      <c r="O106" s="77"/>
      <c r="P106" s="77"/>
      <c r="Q106" s="52"/>
      <c r="R106" s="52"/>
      <c r="S106" s="52"/>
    </row>
    <row r="107" spans="2:19" x14ac:dyDescent="0.2">
      <c r="B107" s="92"/>
      <c r="C107" s="195" t="s">
        <v>73</v>
      </c>
      <c r="D107" s="150"/>
      <c r="E107" s="150">
        <f>-E27</f>
        <v>-104000</v>
      </c>
      <c r="F107" s="150"/>
      <c r="G107" s="150"/>
      <c r="H107" s="150"/>
      <c r="I107" s="150"/>
      <c r="J107" s="177"/>
      <c r="K107" s="90"/>
      <c r="L107" s="53"/>
      <c r="M107" s="77"/>
      <c r="N107" s="77"/>
      <c r="O107" s="77"/>
      <c r="P107" s="77"/>
      <c r="Q107" s="52"/>
      <c r="R107" s="52"/>
      <c r="S107" s="52"/>
    </row>
    <row r="108" spans="2:19" x14ac:dyDescent="0.2">
      <c r="B108" s="92"/>
      <c r="C108" s="195" t="s">
        <v>96</v>
      </c>
      <c r="D108" s="150"/>
      <c r="E108" s="150"/>
      <c r="F108" s="166">
        <f>F88</f>
        <v>9713.4022439765649</v>
      </c>
      <c r="G108" s="166">
        <f>G88</f>
        <v>11178.092243976567</v>
      </c>
      <c r="H108" s="166">
        <f>H88</f>
        <v>12687.549143976565</v>
      </c>
      <c r="I108" s="166">
        <f>I88</f>
        <v>14243.124212976556</v>
      </c>
      <c r="J108" s="169">
        <f>J88</f>
        <v>15846.209340666555</v>
      </c>
      <c r="K108" s="90"/>
      <c r="L108" s="53"/>
      <c r="M108" s="77"/>
      <c r="N108" s="77"/>
      <c r="O108" s="77"/>
      <c r="P108" s="77"/>
      <c r="Q108" s="52"/>
      <c r="R108" s="52"/>
      <c r="S108" s="52"/>
    </row>
    <row r="109" spans="2:19" x14ac:dyDescent="0.2">
      <c r="B109" s="92"/>
      <c r="C109" s="195" t="s">
        <v>121</v>
      </c>
      <c r="D109" s="150"/>
      <c r="E109" s="150"/>
      <c r="F109" s="150"/>
      <c r="G109" s="150"/>
      <c r="H109" s="150"/>
      <c r="I109" s="150"/>
      <c r="J109" s="219">
        <f>I97</f>
        <v>237118.87296301796</v>
      </c>
      <c r="K109" s="90"/>
      <c r="L109" s="53"/>
      <c r="M109" s="77"/>
      <c r="N109" s="77"/>
      <c r="O109" s="77"/>
      <c r="P109" s="77"/>
      <c r="Q109" s="52"/>
      <c r="R109" s="52"/>
      <c r="S109" s="52"/>
    </row>
    <row r="110" spans="2:19" x14ac:dyDescent="0.2">
      <c r="B110" s="92"/>
      <c r="C110" s="195" t="s">
        <v>6</v>
      </c>
      <c r="D110" s="150"/>
      <c r="E110" s="150">
        <f>E107</f>
        <v>-104000</v>
      </c>
      <c r="F110" s="166">
        <f>SUM(F108:F109)</f>
        <v>9713.4022439765649</v>
      </c>
      <c r="G110" s="166">
        <f>SUM(G108:G109)</f>
        <v>11178.092243976567</v>
      </c>
      <c r="H110" s="166">
        <f>SUM(H108:H109)</f>
        <v>12687.549143976565</v>
      </c>
      <c r="I110" s="166">
        <f>SUM(I108:I109)</f>
        <v>14243.124212976556</v>
      </c>
      <c r="J110" s="169">
        <f>SUM(J108:J109)</f>
        <v>252965.08230368452</v>
      </c>
      <c r="K110" s="90"/>
      <c r="L110" s="53"/>
      <c r="M110" s="77"/>
      <c r="N110" s="77"/>
      <c r="O110" s="77"/>
      <c r="P110" s="77"/>
      <c r="Q110" s="52"/>
      <c r="R110" s="52"/>
      <c r="S110" s="52"/>
    </row>
    <row r="111" spans="2:19" x14ac:dyDescent="0.2">
      <c r="B111" s="92"/>
      <c r="C111" s="195" t="s">
        <v>53</v>
      </c>
      <c r="D111" s="150"/>
      <c r="E111" s="150"/>
      <c r="F111" s="150"/>
      <c r="G111" s="150"/>
      <c r="H111" s="150"/>
      <c r="I111" s="150"/>
      <c r="J111" s="220">
        <f>IRR(E110:J110)</f>
        <v>0.26664183304345701</v>
      </c>
      <c r="K111" s="90"/>
      <c r="L111" s="53"/>
      <c r="M111" s="77"/>
      <c r="N111" s="77"/>
      <c r="O111" s="77"/>
      <c r="P111" s="77"/>
      <c r="Q111" s="52"/>
      <c r="R111" s="52"/>
      <c r="S111" s="52"/>
    </row>
    <row r="112" spans="2:19" x14ac:dyDescent="0.2">
      <c r="B112" s="92"/>
      <c r="C112" s="195"/>
      <c r="D112" s="150"/>
      <c r="E112" s="150"/>
      <c r="F112" s="150"/>
      <c r="G112" s="150"/>
      <c r="H112" s="150"/>
      <c r="I112" s="150"/>
      <c r="J112" s="220"/>
      <c r="K112" s="90"/>
      <c r="L112" s="53"/>
      <c r="M112" s="77"/>
      <c r="N112" s="77"/>
      <c r="O112" s="77"/>
      <c r="P112" s="77"/>
      <c r="Q112" s="52"/>
      <c r="R112" s="52"/>
      <c r="S112" s="52"/>
    </row>
    <row r="113" spans="2:19" x14ac:dyDescent="0.2">
      <c r="B113" s="92"/>
      <c r="C113" s="195" t="s">
        <v>7</v>
      </c>
      <c r="D113" s="150"/>
      <c r="E113" s="150"/>
      <c r="F113" s="166">
        <f>F89</f>
        <v>-3415.834221107255</v>
      </c>
      <c r="G113" s="166">
        <f>G89</f>
        <v>-4029.4183399721151</v>
      </c>
      <c r="H113" s="166">
        <f>H89</f>
        <v>-4666.4802407463812</v>
      </c>
      <c r="I113" s="166">
        <f>I89</f>
        <v>-5327.9868166220513</v>
      </c>
      <c r="J113" s="169">
        <f>J89</f>
        <v>-6014.9479872601769</v>
      </c>
      <c r="K113" s="90"/>
      <c r="L113" s="53"/>
      <c r="M113" s="77"/>
      <c r="N113" s="77"/>
      <c r="O113" s="77"/>
      <c r="P113" s="77"/>
      <c r="Q113" s="52"/>
      <c r="R113" s="52"/>
      <c r="S113" s="52"/>
    </row>
    <row r="114" spans="2:19" x14ac:dyDescent="0.2">
      <c r="B114" s="92"/>
      <c r="C114" s="195" t="s">
        <v>39</v>
      </c>
      <c r="D114" s="150"/>
      <c r="E114" s="150"/>
      <c r="F114" s="150"/>
      <c r="G114" s="150"/>
      <c r="H114" s="150"/>
      <c r="I114" s="150"/>
      <c r="J114" s="167">
        <f>-I103</f>
        <v>-35729.863435897445</v>
      </c>
      <c r="K114" s="90"/>
      <c r="L114" s="53"/>
      <c r="M114" s="77"/>
      <c r="N114" s="77"/>
      <c r="O114" s="77"/>
      <c r="P114" s="77"/>
      <c r="Q114" s="52"/>
      <c r="R114" s="52"/>
      <c r="S114" s="52"/>
    </row>
    <row r="115" spans="2:19" x14ac:dyDescent="0.2">
      <c r="B115" s="92"/>
      <c r="C115" s="195" t="s">
        <v>130</v>
      </c>
      <c r="D115" s="150"/>
      <c r="E115" s="150">
        <f>E110</f>
        <v>-104000</v>
      </c>
      <c r="F115" s="166">
        <f>SUM(F110:F114)</f>
        <v>6297.56802286931</v>
      </c>
      <c r="G115" s="166">
        <f>SUM(G110:G114)</f>
        <v>7148.6739040044522</v>
      </c>
      <c r="H115" s="166">
        <f>SUM(H110:H114)</f>
        <v>8021.0689032301834</v>
      </c>
      <c r="I115" s="166">
        <f>SUM(I110:I114)</f>
        <v>8915.1373963545047</v>
      </c>
      <c r="J115" s="169">
        <f>J110+J113+J114</f>
        <v>211220.27088052689</v>
      </c>
      <c r="K115" s="90"/>
      <c r="L115" s="53"/>
      <c r="M115" s="77"/>
      <c r="N115" s="77"/>
      <c r="O115" s="77"/>
      <c r="P115" s="77"/>
      <c r="Q115" s="52"/>
      <c r="R115" s="52"/>
      <c r="S115" s="52"/>
    </row>
    <row r="116" spans="2:19" ht="13.5" thickBot="1" x14ac:dyDescent="0.25">
      <c r="B116" s="92"/>
      <c r="C116" s="218" t="s">
        <v>53</v>
      </c>
      <c r="D116" s="152"/>
      <c r="E116" s="152"/>
      <c r="F116" s="152"/>
      <c r="G116" s="152"/>
      <c r="H116" s="152"/>
      <c r="I116" s="152"/>
      <c r="J116" s="221">
        <f>IRR(E115:J115)</f>
        <v>0.200097391399229</v>
      </c>
      <c r="K116" s="90"/>
      <c r="L116" s="53"/>
      <c r="M116" s="77"/>
      <c r="N116" s="77"/>
      <c r="O116" s="77"/>
      <c r="P116" s="77"/>
      <c r="Q116" s="52"/>
      <c r="R116" s="52"/>
      <c r="S116" s="52"/>
    </row>
    <row r="117" spans="2:19" ht="14.25" thickTop="1" thickBot="1" x14ac:dyDescent="0.25">
      <c r="B117" s="93"/>
      <c r="C117" s="145" t="s">
        <v>22</v>
      </c>
      <c r="D117" s="143"/>
      <c r="E117" s="143"/>
      <c r="F117" s="143"/>
      <c r="G117" s="143"/>
      <c r="H117" s="143"/>
      <c r="I117" s="143"/>
      <c r="J117" s="144"/>
      <c r="K117" s="91"/>
      <c r="L117" s="53"/>
      <c r="M117" s="77"/>
      <c r="N117" s="77"/>
      <c r="O117" s="77"/>
      <c r="P117" s="77"/>
      <c r="Q117" s="52"/>
      <c r="R117" s="52"/>
      <c r="S117" s="52"/>
    </row>
    <row r="118" spans="2:19" ht="14.25" thickTop="1" thickBot="1" x14ac:dyDescent="0.25">
      <c r="B118" s="87"/>
      <c r="C118" s="88"/>
      <c r="D118" s="88"/>
      <c r="E118" s="88"/>
      <c r="F118" s="88"/>
      <c r="G118" s="88"/>
      <c r="H118" s="88"/>
      <c r="I118" s="88"/>
      <c r="J118" s="88"/>
      <c r="K118" s="89"/>
      <c r="L118" s="53"/>
      <c r="M118" s="77"/>
      <c r="N118" s="77"/>
      <c r="O118" s="77"/>
      <c r="P118" s="77"/>
      <c r="Q118" s="52"/>
      <c r="R118" s="52"/>
      <c r="S118" s="52"/>
    </row>
    <row r="119" spans="2:19" ht="13.5" thickTop="1" x14ac:dyDescent="0.2">
      <c r="B119" s="52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52"/>
      <c r="R119" s="52"/>
      <c r="S119" s="52"/>
    </row>
    <row r="120" spans="2:19" x14ac:dyDescent="0.2">
      <c r="B120" s="52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52"/>
      <c r="R120" s="52"/>
      <c r="S120" s="52"/>
    </row>
    <row r="121" spans="2:19" x14ac:dyDescent="0.2">
      <c r="B121" s="52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52"/>
      <c r="R121" s="52"/>
      <c r="S121" s="52"/>
    </row>
    <row r="122" spans="2:19" x14ac:dyDescent="0.2">
      <c r="B122" s="52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52"/>
      <c r="R122" s="52"/>
      <c r="S122" s="52"/>
    </row>
    <row r="123" spans="2:19" x14ac:dyDescent="0.2">
      <c r="B123" s="52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52"/>
      <c r="R123" s="52"/>
      <c r="S123" s="52"/>
    </row>
    <row r="124" spans="2:19" x14ac:dyDescent="0.2">
      <c r="B124" s="52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52"/>
      <c r="R124" s="52"/>
      <c r="S124" s="52"/>
    </row>
    <row r="125" spans="2:19" x14ac:dyDescent="0.2">
      <c r="B125" s="52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52"/>
      <c r="R125" s="52"/>
      <c r="S125" s="52"/>
    </row>
    <row r="126" spans="2:19" x14ac:dyDescent="0.2">
      <c r="B126" s="52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52"/>
      <c r="R126" s="52"/>
      <c r="S126" s="52"/>
    </row>
    <row r="127" spans="2:19" x14ac:dyDescent="0.2">
      <c r="B127" s="52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52"/>
      <c r="R127" s="52"/>
      <c r="S127" s="52"/>
    </row>
    <row r="128" spans="2:19" x14ac:dyDescent="0.2">
      <c r="B128" s="52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52"/>
      <c r="R128" s="52"/>
      <c r="S128" s="52"/>
    </row>
    <row r="129" spans="2:19" x14ac:dyDescent="0.2">
      <c r="B129" s="52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52"/>
      <c r="R129" s="52"/>
      <c r="S129" s="52"/>
    </row>
    <row r="130" spans="2:19" x14ac:dyDescent="0.2">
      <c r="B130" s="52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52"/>
      <c r="R130" s="52"/>
      <c r="S130" s="52"/>
    </row>
    <row r="131" spans="2:19" x14ac:dyDescent="0.2">
      <c r="C131" s="51"/>
      <c r="D131" s="51"/>
      <c r="E131" s="51"/>
      <c r="F131" s="51"/>
      <c r="G131" s="51"/>
      <c r="H131" s="51"/>
      <c r="I131" s="51"/>
      <c r="J131" s="51"/>
      <c r="K131" s="51"/>
      <c r="L131" s="79"/>
      <c r="M131" s="51"/>
      <c r="N131" s="51"/>
      <c r="O131" s="51"/>
      <c r="P131" s="51"/>
    </row>
    <row r="132" spans="2:19" x14ac:dyDescent="0.2">
      <c r="C132" s="51"/>
      <c r="D132" s="51"/>
      <c r="E132" s="51"/>
      <c r="F132" s="51"/>
      <c r="G132" s="51"/>
      <c r="H132" s="51"/>
      <c r="I132" s="51"/>
      <c r="J132" s="51"/>
      <c r="K132" s="51"/>
      <c r="L132" s="79"/>
      <c r="M132" s="51"/>
      <c r="N132" s="51"/>
      <c r="O132" s="51"/>
      <c r="P132" s="51"/>
    </row>
    <row r="133" spans="2:19" x14ac:dyDescent="0.2">
      <c r="C133" s="51"/>
      <c r="D133" s="51"/>
      <c r="E133" s="51"/>
      <c r="F133" s="51"/>
      <c r="G133" s="51"/>
      <c r="H133" s="51"/>
      <c r="I133" s="51"/>
      <c r="J133" s="51"/>
      <c r="K133" s="51"/>
      <c r="L133" s="79"/>
      <c r="M133" s="51"/>
      <c r="N133" s="51"/>
      <c r="O133" s="51"/>
      <c r="P133" s="51"/>
    </row>
    <row r="134" spans="2:19" x14ac:dyDescent="0.2">
      <c r="C134" s="51"/>
      <c r="D134" s="51"/>
      <c r="E134" s="51"/>
      <c r="F134" s="51"/>
      <c r="G134" s="51"/>
      <c r="H134" s="51"/>
      <c r="I134" s="51"/>
      <c r="J134" s="51"/>
      <c r="K134" s="51"/>
      <c r="L134" s="79"/>
      <c r="M134" s="51"/>
      <c r="N134" s="51"/>
      <c r="O134" s="51"/>
      <c r="P134" s="51"/>
    </row>
    <row r="135" spans="2:19" x14ac:dyDescent="0.2">
      <c r="C135" s="51"/>
      <c r="D135" s="51"/>
      <c r="E135" s="51"/>
      <c r="F135" s="51"/>
      <c r="G135" s="51"/>
      <c r="H135" s="51"/>
      <c r="I135" s="51"/>
      <c r="J135" s="51"/>
      <c r="K135" s="51"/>
      <c r="L135" s="79"/>
      <c r="M135" s="51"/>
      <c r="N135" s="51"/>
      <c r="O135" s="51"/>
      <c r="P135" s="51"/>
    </row>
    <row r="136" spans="2:19" x14ac:dyDescent="0.2">
      <c r="C136" s="51"/>
      <c r="D136" s="51"/>
      <c r="E136" s="51"/>
      <c r="F136" s="51"/>
      <c r="G136" s="51"/>
      <c r="H136" s="51"/>
      <c r="I136" s="51"/>
      <c r="J136" s="51"/>
      <c r="K136" s="51"/>
      <c r="L136" s="79"/>
      <c r="M136" s="51"/>
      <c r="N136" s="51"/>
      <c r="O136" s="51"/>
      <c r="P136" s="51"/>
    </row>
    <row r="137" spans="2:19" x14ac:dyDescent="0.2">
      <c r="C137" s="51"/>
      <c r="D137" s="51"/>
      <c r="E137" s="51"/>
      <c r="F137" s="51"/>
      <c r="G137" s="51"/>
      <c r="H137" s="51"/>
      <c r="I137" s="51"/>
      <c r="J137" s="51"/>
      <c r="K137" s="51"/>
      <c r="L137" s="79"/>
      <c r="M137" s="51"/>
      <c r="N137" s="51"/>
      <c r="O137" s="51"/>
      <c r="P137" s="51"/>
    </row>
  </sheetData>
  <dataConsolidate/>
  <mergeCells count="37">
    <mergeCell ref="C37:J37"/>
    <mergeCell ref="F19:J20"/>
    <mergeCell ref="C29:J29"/>
    <mergeCell ref="C20:E20"/>
    <mergeCell ref="F8:G8"/>
    <mergeCell ref="F9:G9"/>
    <mergeCell ref="F10:G10"/>
    <mergeCell ref="F11:G11"/>
    <mergeCell ref="F12:G12"/>
    <mergeCell ref="F13:J18"/>
    <mergeCell ref="F21:J27"/>
    <mergeCell ref="C65:J65"/>
    <mergeCell ref="C91:J91"/>
    <mergeCell ref="C104:J104"/>
    <mergeCell ref="M91:P91"/>
    <mergeCell ref="I92:J92"/>
    <mergeCell ref="I93:J93"/>
    <mergeCell ref="I94:J94"/>
    <mergeCell ref="I102:J102"/>
    <mergeCell ref="I103:J103"/>
    <mergeCell ref="C117:J117"/>
    <mergeCell ref="C105:E106"/>
    <mergeCell ref="I95:J95"/>
    <mergeCell ref="I96:J96"/>
    <mergeCell ref="I97:J97"/>
    <mergeCell ref="I98:J98"/>
    <mergeCell ref="I100:J100"/>
    <mergeCell ref="I101:J101"/>
    <mergeCell ref="I99:J99"/>
    <mergeCell ref="B3:K3"/>
    <mergeCell ref="C28:E28"/>
    <mergeCell ref="C1:K2"/>
    <mergeCell ref="I36:J36"/>
    <mergeCell ref="C6:J6"/>
    <mergeCell ref="D4:J4"/>
    <mergeCell ref="D5:J5"/>
    <mergeCell ref="C7:J7"/>
  </mergeCells>
  <phoneticPr fontId="2" type="noConversion"/>
  <pageMargins left="0.75" right="0.75" top="1" bottom="1" header="0.5" footer="0.5"/>
  <pageSetup orientation="landscape" horizontalDpi="4294967292" verticalDpi="4294967292" r:id="rId1"/>
  <headerFooter alignWithMargins="0">
    <oddFooter>&amp;R&amp;"Calibri,Regular"&amp;K000000DAR-V3-07052016</oddFooter>
  </headerFooter>
  <ignoredErrors>
    <ignoredError sqref="I51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 x14ac:dyDescent="0.2"/>
  <sheetData/>
  <pageMargins left="0.75" right="0.75" top="1" bottom="1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="125" zoomScaleNormal="125" workbookViewId="0">
      <selection activeCell="C4" sqref="C4"/>
    </sheetView>
  </sheetViews>
  <sheetFormatPr defaultRowHeight="12.75" x14ac:dyDescent="0.2"/>
  <cols>
    <col min="1" max="1" width="22.28515625" customWidth="1"/>
    <col min="2" max="3" width="19.42578125" bestFit="1" customWidth="1"/>
    <col min="4" max="256" width="11.5703125" customWidth="1"/>
  </cols>
  <sheetData>
    <row r="1" spans="1:3" x14ac:dyDescent="0.2">
      <c r="A1" s="114" t="s">
        <v>32</v>
      </c>
      <c r="B1" s="114"/>
      <c r="C1" s="114"/>
    </row>
    <row r="2" spans="1:3" x14ac:dyDescent="0.2">
      <c r="A2" s="114"/>
      <c r="B2" s="114"/>
      <c r="C2" s="114"/>
    </row>
    <row r="3" spans="1:3" ht="15.75" x14ac:dyDescent="0.25">
      <c r="A3" s="38"/>
      <c r="B3" s="39" t="s">
        <v>38</v>
      </c>
      <c r="C3" s="40"/>
    </row>
    <row r="4" spans="1:3" ht="15.75" x14ac:dyDescent="0.25">
      <c r="A4" s="41" t="s">
        <v>14</v>
      </c>
      <c r="B4" s="42"/>
      <c r="C4" s="43">
        <v>0.1</v>
      </c>
    </row>
    <row r="5" spans="1:3" ht="15.75" x14ac:dyDescent="0.25">
      <c r="A5" s="41" t="s">
        <v>30</v>
      </c>
      <c r="B5" s="42"/>
      <c r="C5" s="44">
        <v>5</v>
      </c>
    </row>
    <row r="6" spans="1:3" ht="15.75" x14ac:dyDescent="0.25">
      <c r="A6" s="45" t="s">
        <v>31</v>
      </c>
      <c r="B6" s="46">
        <v>2500000</v>
      </c>
      <c r="C6" s="47">
        <f>-PV(C4,C5,,B6)</f>
        <v>1552303.3076478874</v>
      </c>
    </row>
    <row r="7" spans="1:3" ht="18.75" x14ac:dyDescent="0.25">
      <c r="A7" s="16"/>
      <c r="B7" s="16"/>
      <c r="C7" s="16"/>
    </row>
  </sheetData>
  <mergeCells count="1">
    <mergeCell ref="A1:C2"/>
  </mergeCells>
  <phoneticPr fontId="1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B5" sqref="B5"/>
    </sheetView>
  </sheetViews>
  <sheetFormatPr defaultColWidth="8.7109375" defaultRowHeight="12.75" x14ac:dyDescent="0.2"/>
  <cols>
    <col min="1" max="1" width="23.42578125" bestFit="1" customWidth="1"/>
    <col min="2" max="2" width="20.7109375" customWidth="1"/>
    <col min="3" max="3" width="16.140625" customWidth="1"/>
  </cols>
  <sheetData>
    <row r="1" spans="1:5" x14ac:dyDescent="0.2">
      <c r="A1" s="115" t="s">
        <v>13</v>
      </c>
      <c r="B1" s="115"/>
      <c r="C1" s="115"/>
    </row>
    <row r="2" spans="1:5" x14ac:dyDescent="0.2">
      <c r="A2" s="115"/>
      <c r="B2" s="115"/>
      <c r="C2" s="115"/>
    </row>
    <row r="3" spans="1:5" ht="19.5" x14ac:dyDescent="0.3">
      <c r="A3" s="10"/>
      <c r="B3" s="10"/>
      <c r="C3" s="11"/>
    </row>
    <row r="4" spans="1:5" ht="19.5" x14ac:dyDescent="0.3">
      <c r="A4" s="12" t="s">
        <v>14</v>
      </c>
      <c r="B4" s="13"/>
      <c r="C4" s="14">
        <v>0.1</v>
      </c>
    </row>
    <row r="5" spans="1:5" ht="18.75" x14ac:dyDescent="0.25">
      <c r="A5" s="15" t="s">
        <v>33</v>
      </c>
      <c r="B5" s="18">
        <f>'Master Sheet'!F82</f>
        <v>9713.4022439765649</v>
      </c>
      <c r="C5" s="17">
        <f>-PV($C$4,1,,B5)</f>
        <v>8830.3656763423314</v>
      </c>
    </row>
    <row r="6" spans="1:5" ht="18.75" x14ac:dyDescent="0.25">
      <c r="A6" s="15" t="s">
        <v>34</v>
      </c>
      <c r="B6" s="18">
        <f>'Master Sheet'!G82</f>
        <v>11178.092243976567</v>
      </c>
      <c r="C6" s="17">
        <f>-PV($C$4,2,,B6)</f>
        <v>9238.0927636169963</v>
      </c>
    </row>
    <row r="7" spans="1:5" ht="18.75" x14ac:dyDescent="0.25">
      <c r="A7" s="15" t="s">
        <v>35</v>
      </c>
      <c r="B7" s="18">
        <f>'Master Sheet'!H82</f>
        <v>12687.549143976565</v>
      </c>
      <c r="C7" s="17">
        <f>-PV($C$4,3,,B7)</f>
        <v>9532.3434590357338</v>
      </c>
    </row>
    <row r="8" spans="1:5" ht="18.75" x14ac:dyDescent="0.25">
      <c r="A8" s="15" t="s">
        <v>36</v>
      </c>
      <c r="B8" s="18">
        <f>'Master Sheet'!I82</f>
        <v>14243.124212976556</v>
      </c>
      <c r="C8" s="17">
        <f>-PV($C$4,4,,B8)</f>
        <v>9728.2454838990179</v>
      </c>
    </row>
    <row r="9" spans="1:5" ht="18.75" x14ac:dyDescent="0.25">
      <c r="A9" s="15" t="s">
        <v>37</v>
      </c>
      <c r="B9" s="18">
        <f>'Master Sheet'!J82+'Master Sheet'!I97</f>
        <v>252965.08230368452</v>
      </c>
      <c r="C9" s="17">
        <f>-PV($C$4,5,,B9)</f>
        <v>157071.41359177182</v>
      </c>
    </row>
    <row r="10" spans="1:5" ht="18.75" x14ac:dyDescent="0.25">
      <c r="A10" s="15" t="s">
        <v>23</v>
      </c>
      <c r="B10" s="18">
        <v>0</v>
      </c>
      <c r="C10" s="17">
        <f>-PV($C$4,6,,B10)</f>
        <v>0</v>
      </c>
    </row>
    <row r="11" spans="1:5" ht="18.75" x14ac:dyDescent="0.25">
      <c r="A11" s="15" t="s">
        <v>23</v>
      </c>
      <c r="B11" s="18">
        <v>0</v>
      </c>
      <c r="C11" s="17">
        <f>-PV($C$4,7,,B11)</f>
        <v>0</v>
      </c>
      <c r="E11" s="1"/>
    </row>
    <row r="12" spans="1:5" ht="18.75" x14ac:dyDescent="0.25">
      <c r="A12" s="15" t="s">
        <v>23</v>
      </c>
      <c r="B12" s="18">
        <v>0</v>
      </c>
      <c r="C12" s="17">
        <f>-PV($C$4,8,,B12)</f>
        <v>0</v>
      </c>
    </row>
    <row r="13" spans="1:5" ht="18.75" x14ac:dyDescent="0.25">
      <c r="A13" s="15" t="s">
        <v>23</v>
      </c>
      <c r="B13" s="18">
        <v>0</v>
      </c>
      <c r="C13" s="17">
        <f>-PV($C$4,9,,B13)</f>
        <v>0</v>
      </c>
    </row>
    <row r="14" spans="1:5" ht="18.75" x14ac:dyDescent="0.25">
      <c r="A14" s="15" t="s">
        <v>23</v>
      </c>
      <c r="B14" s="18">
        <v>0</v>
      </c>
      <c r="C14" s="19">
        <f>-PV($C$4,10,,B14)</f>
        <v>0</v>
      </c>
    </row>
    <row r="15" spans="1:5" ht="19.5" x14ac:dyDescent="0.3">
      <c r="A15" s="20" t="s">
        <v>29</v>
      </c>
      <c r="B15" s="21"/>
      <c r="C15" s="22">
        <f>SUM(C5:C14)</f>
        <v>194400.46097466591</v>
      </c>
    </row>
    <row r="16" spans="1:5" ht="19.5" x14ac:dyDescent="0.3">
      <c r="A16" s="20" t="s">
        <v>20</v>
      </c>
      <c r="B16" s="37"/>
      <c r="C16" s="22">
        <f>C15-'Master Sheet'!E27</f>
        <v>90400.460974665912</v>
      </c>
    </row>
    <row r="17" spans="1:3" ht="19.5" x14ac:dyDescent="0.3">
      <c r="A17" s="20" t="s">
        <v>21</v>
      </c>
      <c r="B17" s="21"/>
      <c r="C17" s="23">
        <f>C15/'Master Sheet'!E27</f>
        <v>1.86923520167948</v>
      </c>
    </row>
    <row r="21" spans="1:3" x14ac:dyDescent="0.2">
      <c r="A21" s="9"/>
    </row>
  </sheetData>
  <mergeCells count="1">
    <mergeCell ref="A1:C2"/>
  </mergeCells>
  <phoneticPr fontId="13" type="noConversion"/>
  <pageMargins left="0.75" right="0.75" top="1" bottom="1" header="0.3" footer="0.3"/>
  <pageSetup orientation="portrait" horizontalDpi="4294967292" verticalDpi="4294967292"/>
  <ignoredErrors>
    <ignoredError sqref="C9" emptyCellReference="1"/>
    <ignoredError sqref="C1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125" zoomScaleNormal="125" workbookViewId="0">
      <selection activeCell="G6" sqref="G6"/>
    </sheetView>
  </sheetViews>
  <sheetFormatPr defaultRowHeight="12.75" x14ac:dyDescent="0.2"/>
  <cols>
    <col min="1" max="2" width="11.5703125" customWidth="1"/>
    <col min="3" max="3" width="9.28515625" customWidth="1"/>
    <col min="4" max="4" width="18.7109375" customWidth="1"/>
    <col min="5" max="5" width="16.7109375" customWidth="1"/>
    <col min="6" max="6" width="11.42578125" customWidth="1"/>
    <col min="7" max="7" width="22.140625" bestFit="1" customWidth="1"/>
    <col min="8" max="8" width="13.42578125" customWidth="1"/>
    <col min="9" max="256" width="11.5703125" customWidth="1"/>
  </cols>
  <sheetData>
    <row r="1" spans="1:9" ht="16.5" thickBot="1" x14ac:dyDescent="0.3">
      <c r="A1" s="24" t="s">
        <v>61</v>
      </c>
      <c r="B1" s="25"/>
      <c r="C1" s="26"/>
      <c r="D1" s="27">
        <f>'Master Sheet'!F30</f>
        <v>4.3749999999999995E-3</v>
      </c>
      <c r="E1" s="28" t="s">
        <v>45</v>
      </c>
      <c r="F1" s="28" t="s">
        <v>74</v>
      </c>
      <c r="G1" s="29" t="s">
        <v>75</v>
      </c>
      <c r="H1" s="30" t="s">
        <v>76</v>
      </c>
      <c r="I1" s="2"/>
    </row>
    <row r="2" spans="1:9" ht="15.75" x14ac:dyDescent="0.25">
      <c r="A2" s="31" t="s">
        <v>77</v>
      </c>
      <c r="B2" s="32"/>
      <c r="C2" s="33"/>
      <c r="D2" s="48">
        <f>'Master Sheet'!F31</f>
        <v>180</v>
      </c>
      <c r="E2" s="4">
        <f>'Master Sheet'!G31</f>
        <v>168</v>
      </c>
      <c r="F2" s="4">
        <v>1</v>
      </c>
      <c r="G2" s="6">
        <f t="shared" ref="G2:G21" si="0">PV($D$1,E2,$D$4,,0)</f>
        <v>286488.35328580963</v>
      </c>
      <c r="H2" s="6">
        <f>'Master Sheet'!J31</f>
        <v>13511.64671419037</v>
      </c>
      <c r="I2" s="2"/>
    </row>
    <row r="3" spans="1:9" ht="15.75" x14ac:dyDescent="0.25">
      <c r="A3" s="31" t="s">
        <v>78</v>
      </c>
      <c r="B3" s="32"/>
      <c r="C3" s="33"/>
      <c r="D3" s="50">
        <f>'Master Sheet'!F32</f>
        <v>300000</v>
      </c>
      <c r="E3" s="5">
        <f>E2-12</f>
        <v>156</v>
      </c>
      <c r="F3" s="5">
        <v>2</v>
      </c>
      <c r="G3" s="6">
        <f t="shared" si="0"/>
        <v>272250.02471853048</v>
      </c>
      <c r="H3" s="6">
        <f>G2-G3</f>
        <v>14238.328567279154</v>
      </c>
      <c r="I3" s="2"/>
    </row>
    <row r="4" spans="1:9" ht="15.75" x14ac:dyDescent="0.25">
      <c r="A4" s="34" t="s">
        <v>80</v>
      </c>
      <c r="B4" s="35"/>
      <c r="C4" s="36"/>
      <c r="D4" s="49">
        <f>'Master Sheet'!F34</f>
        <v>-2411.6331463352863</v>
      </c>
      <c r="E4" s="5">
        <f>E3-12</f>
        <v>144</v>
      </c>
      <c r="F4" s="5">
        <v>3</v>
      </c>
      <c r="G4" s="6">
        <f t="shared" si="0"/>
        <v>257245.93197705751</v>
      </c>
      <c r="H4" s="6">
        <f>G3-G4</f>
        <v>15004.092741472967</v>
      </c>
      <c r="I4" s="2"/>
    </row>
    <row r="5" spans="1:9" ht="15" x14ac:dyDescent="0.2">
      <c r="A5" s="2"/>
      <c r="B5" s="2"/>
      <c r="C5" s="2"/>
      <c r="D5" s="7"/>
      <c r="E5" s="5">
        <f>E4-12</f>
        <v>132</v>
      </c>
      <c r="F5" s="5">
        <v>4</v>
      </c>
      <c r="G5" s="6">
        <f t="shared" si="0"/>
        <v>241434.89081931429</v>
      </c>
      <c r="H5" s="6">
        <f>G4-G5</f>
        <v>15811.041157743224</v>
      </c>
      <c r="I5" s="2"/>
    </row>
    <row r="6" spans="1:9" ht="15" x14ac:dyDescent="0.2">
      <c r="A6" s="2"/>
      <c r="B6" s="2"/>
      <c r="C6" s="2"/>
      <c r="D6" s="3"/>
      <c r="E6" s="5">
        <f>E5-12</f>
        <v>120</v>
      </c>
      <c r="F6" s="5">
        <v>5</v>
      </c>
      <c r="G6" s="6">
        <f t="shared" si="0"/>
        <v>224773.50203698204</v>
      </c>
      <c r="H6" s="6">
        <f>G5-G6</f>
        <v>16661.388782332244</v>
      </c>
      <c r="I6" s="2"/>
    </row>
    <row r="7" spans="1:9" ht="15" x14ac:dyDescent="0.2">
      <c r="A7" s="2"/>
      <c r="B7" s="2"/>
      <c r="C7" s="2"/>
      <c r="D7" s="3"/>
      <c r="E7" s="8">
        <f>E6-12</f>
        <v>108</v>
      </c>
      <c r="F7" s="5">
        <v>6</v>
      </c>
      <c r="G7" s="6">
        <f t="shared" si="0"/>
        <v>207216.03233043617</v>
      </c>
      <c r="H7" s="6">
        <f>G6-G7</f>
        <v>17557.469706545875</v>
      </c>
      <c r="I7" s="2"/>
    </row>
    <row r="8" spans="1:9" ht="15" x14ac:dyDescent="0.2">
      <c r="A8" s="2"/>
      <c r="B8" s="2"/>
      <c r="C8" s="2"/>
      <c r="D8" s="3"/>
      <c r="E8" s="8">
        <f t="shared" ref="E8:E31" si="1">E7-12</f>
        <v>96</v>
      </c>
      <c r="F8" s="5">
        <v>7</v>
      </c>
      <c r="G8" s="6">
        <f t="shared" si="0"/>
        <v>188714.28877691212</v>
      </c>
      <c r="H8" s="6">
        <f t="shared" ref="H8:H21" si="2">G7-G8</f>
        <v>18501.743553524051</v>
      </c>
      <c r="I8" s="2"/>
    </row>
    <row r="9" spans="1:9" ht="15" x14ac:dyDescent="0.2">
      <c r="A9" s="2"/>
      <c r="B9" s="2"/>
      <c r="C9" s="2"/>
      <c r="D9" s="3"/>
      <c r="E9" s="8">
        <f t="shared" si="1"/>
        <v>84</v>
      </c>
      <c r="F9" s="5">
        <v>8</v>
      </c>
      <c r="G9" s="6">
        <f t="shared" si="0"/>
        <v>169217.48654733182</v>
      </c>
      <c r="H9" s="6">
        <f t="shared" si="2"/>
        <v>19496.802229580295</v>
      </c>
      <c r="I9" s="2"/>
    </row>
    <row r="10" spans="1:9" ht="15" x14ac:dyDescent="0.2">
      <c r="A10" s="2"/>
      <c r="B10" s="2"/>
      <c r="C10" s="2"/>
      <c r="D10" s="3"/>
      <c r="E10" s="8">
        <f t="shared" si="1"/>
        <v>72</v>
      </c>
      <c r="F10" s="5">
        <v>9</v>
      </c>
      <c r="G10" s="6">
        <f t="shared" si="0"/>
        <v>148672.10950869246</v>
      </c>
      <c r="H10" s="6">
        <f t="shared" si="2"/>
        <v>20545.377038639359</v>
      </c>
      <c r="I10" s="2"/>
    </row>
    <row r="11" spans="1:9" ht="15" x14ac:dyDescent="0.2">
      <c r="A11" s="2"/>
      <c r="B11" s="2"/>
      <c r="C11" s="2"/>
      <c r="D11" s="3"/>
      <c r="E11" s="8">
        <f t="shared" si="1"/>
        <v>60</v>
      </c>
      <c r="F11" s="5">
        <v>10</v>
      </c>
      <c r="G11" s="6">
        <f t="shared" si="0"/>
        <v>127021.76332938796</v>
      </c>
      <c r="H11" s="6">
        <f t="shared" si="2"/>
        <v>21650.346179304499</v>
      </c>
      <c r="I11" s="2"/>
    </row>
    <row r="12" spans="1:9" ht="15" x14ac:dyDescent="0.2">
      <c r="A12" s="2"/>
      <c r="B12" s="2"/>
      <c r="C12" s="2"/>
      <c r="D12" s="2"/>
      <c r="E12" s="5">
        <f t="shared" si="1"/>
        <v>48</v>
      </c>
      <c r="F12" s="5">
        <v>11</v>
      </c>
      <c r="G12" s="6">
        <f t="shared" si="0"/>
        <v>104207.02068425789</v>
      </c>
      <c r="H12" s="6">
        <f t="shared" si="2"/>
        <v>22814.742645130071</v>
      </c>
      <c r="I12" s="2"/>
    </row>
    <row r="13" spans="1:9" ht="15" x14ac:dyDescent="0.2">
      <c r="A13" s="2"/>
      <c r="B13" s="2"/>
      <c r="C13" s="2"/>
      <c r="D13" s="2"/>
      <c r="E13" s="5">
        <f t="shared" si="1"/>
        <v>36</v>
      </c>
      <c r="F13" s="5">
        <v>12</v>
      </c>
      <c r="G13" s="6">
        <f t="shared" si="0"/>
        <v>80165.258134471122</v>
      </c>
      <c r="H13" s="6">
        <f t="shared" si="2"/>
        <v>24041.76254978677</v>
      </c>
      <c r="I13" s="2"/>
    </row>
    <row r="14" spans="1:9" ht="15" x14ac:dyDescent="0.2">
      <c r="A14" s="2"/>
      <c r="B14" s="2"/>
      <c r="C14" s="2"/>
      <c r="D14" s="2"/>
      <c r="E14" s="5">
        <f t="shared" si="1"/>
        <v>24</v>
      </c>
      <c r="F14" s="5">
        <v>13</v>
      </c>
      <c r="G14" s="6">
        <f t="shared" si="0"/>
        <v>54830.484234503238</v>
      </c>
      <c r="H14" s="6">
        <f t="shared" si="2"/>
        <v>25334.773899967884</v>
      </c>
      <c r="I14" s="2"/>
    </row>
    <row r="15" spans="1:9" ht="15" x14ac:dyDescent="0.2">
      <c r="A15" s="2"/>
      <c r="B15" s="2"/>
      <c r="C15" s="2"/>
      <c r="D15" s="2"/>
      <c r="E15" s="5">
        <f t="shared" si="1"/>
        <v>12</v>
      </c>
      <c r="F15" s="5">
        <v>14</v>
      </c>
      <c r="G15" s="6">
        <f t="shared" si="0"/>
        <v>28133.158394381378</v>
      </c>
      <c r="H15" s="6">
        <f t="shared" si="2"/>
        <v>26697.325840121859</v>
      </c>
      <c r="I15" s="2"/>
    </row>
    <row r="16" spans="1:9" ht="15" x14ac:dyDescent="0.2">
      <c r="A16" s="2"/>
      <c r="B16" s="2"/>
      <c r="C16" s="2"/>
      <c r="D16" s="2"/>
      <c r="E16" s="5">
        <f t="shared" si="1"/>
        <v>0</v>
      </c>
      <c r="F16" s="5">
        <v>15</v>
      </c>
      <c r="G16" s="6">
        <f t="shared" si="0"/>
        <v>0</v>
      </c>
      <c r="H16" s="6">
        <f t="shared" si="2"/>
        <v>28133.158394381378</v>
      </c>
      <c r="I16" s="2"/>
    </row>
    <row r="17" spans="1:9" ht="15" x14ac:dyDescent="0.2">
      <c r="A17" s="2"/>
      <c r="B17" s="2"/>
      <c r="C17" s="2"/>
      <c r="D17" s="2"/>
      <c r="E17" s="5">
        <f t="shared" si="1"/>
        <v>-12</v>
      </c>
      <c r="F17" s="5">
        <v>16</v>
      </c>
      <c r="G17" s="6">
        <f t="shared" si="0"/>
        <v>-29646.212732433778</v>
      </c>
      <c r="H17" s="6">
        <f t="shared" si="2"/>
        <v>29646.212732433778</v>
      </c>
      <c r="I17" s="2"/>
    </row>
    <row r="18" spans="1:9" ht="15" x14ac:dyDescent="0.2">
      <c r="A18" s="2"/>
      <c r="B18" s="2"/>
      <c r="C18" s="2"/>
      <c r="D18" s="2"/>
      <c r="E18" s="5">
        <f t="shared" si="1"/>
        <v>-24</v>
      </c>
      <c r="F18" s="5">
        <v>17</v>
      </c>
      <c r="G18" s="6">
        <f t="shared" si="0"/>
        <v>-60886.854719941541</v>
      </c>
      <c r="H18" s="6">
        <f t="shared" si="2"/>
        <v>31240.641987507763</v>
      </c>
      <c r="I18" s="2"/>
    </row>
    <row r="19" spans="1:9" ht="15" x14ac:dyDescent="0.2">
      <c r="A19" s="2"/>
      <c r="B19" s="2"/>
      <c r="C19" s="2"/>
      <c r="D19" s="2"/>
      <c r="E19" s="5">
        <f t="shared" si="1"/>
        <v>-36</v>
      </c>
      <c r="F19" s="5">
        <v>18</v>
      </c>
      <c r="G19" s="6">
        <f t="shared" si="0"/>
        <v>-93807.677376114691</v>
      </c>
      <c r="H19" s="6">
        <f t="shared" si="2"/>
        <v>32920.82265617315</v>
      </c>
      <c r="I19" s="2"/>
    </row>
    <row r="20" spans="1:9" ht="15" x14ac:dyDescent="0.2">
      <c r="A20" s="2"/>
      <c r="B20" s="2"/>
      <c r="C20" s="2"/>
      <c r="D20" s="2"/>
      <c r="E20" s="5">
        <f t="shared" si="1"/>
        <v>-48</v>
      </c>
      <c r="F20" s="5">
        <v>19</v>
      </c>
      <c r="G20" s="6">
        <f t="shared" si="0"/>
        <v>-128499.0439873571</v>
      </c>
      <c r="H20" s="6">
        <f t="shared" si="2"/>
        <v>34691.366611242411</v>
      </c>
      <c r="I20" s="2"/>
    </row>
    <row r="21" spans="1:9" ht="15" x14ac:dyDescent="0.2">
      <c r="A21" s="2"/>
      <c r="B21" s="2"/>
      <c r="C21" s="2"/>
      <c r="D21" s="2"/>
      <c r="E21" s="5">
        <f t="shared" si="1"/>
        <v>-60</v>
      </c>
      <c r="F21" s="5">
        <v>20</v>
      </c>
      <c r="G21" s="6">
        <f t="shared" si="0"/>
        <v>-165056.17774810607</v>
      </c>
      <c r="H21" s="6">
        <f t="shared" si="2"/>
        <v>36557.13376074897</v>
      </c>
      <c r="I21" s="2"/>
    </row>
    <row r="22" spans="1:9" ht="15" x14ac:dyDescent="0.2">
      <c r="A22" s="2"/>
      <c r="B22" s="2"/>
      <c r="C22" s="2"/>
      <c r="D22" s="2"/>
      <c r="E22" s="5">
        <f t="shared" si="1"/>
        <v>-72</v>
      </c>
      <c r="F22" s="5">
        <v>21</v>
      </c>
      <c r="G22" s="6">
        <f t="shared" ref="G22:G31" si="3">PV($D$1,E22,$D$4,,0)</f>
        <v>-203579.42313585654</v>
      </c>
      <c r="H22" s="6">
        <f t="shared" ref="H22:H31" si="4">G21-G22</f>
        <v>38523.245387750474</v>
      </c>
      <c r="I22" s="2"/>
    </row>
    <row r="23" spans="1:9" ht="15" x14ac:dyDescent="0.2">
      <c r="A23" s="2"/>
      <c r="B23" s="2"/>
      <c r="C23" s="2"/>
      <c r="D23" s="2"/>
      <c r="E23" s="5">
        <f t="shared" si="1"/>
        <v>-84</v>
      </c>
      <c r="F23" s="5">
        <v>22</v>
      </c>
      <c r="G23" s="6">
        <f t="shared" si="3"/>
        <v>-244174.52134342506</v>
      </c>
      <c r="H23" s="6">
        <f t="shared" si="4"/>
        <v>40595.098207568517</v>
      </c>
      <c r="I23" s="2"/>
    </row>
    <row r="24" spans="1:9" ht="15" x14ac:dyDescent="0.2">
      <c r="A24" s="2"/>
      <c r="B24" s="2"/>
      <c r="C24" s="2"/>
      <c r="D24" s="2"/>
      <c r="E24" s="5">
        <f t="shared" si="1"/>
        <v>-96</v>
      </c>
      <c r="F24" s="5">
        <v>23</v>
      </c>
      <c r="G24" s="6">
        <f t="shared" si="3"/>
        <v>-286952.90052448335</v>
      </c>
      <c r="H24" s="6">
        <f t="shared" si="4"/>
        <v>42778.379181058292</v>
      </c>
      <c r="I24" s="2"/>
    </row>
    <row r="25" spans="1:9" ht="15" x14ac:dyDescent="0.2">
      <c r="E25" s="5">
        <f t="shared" si="1"/>
        <v>-108</v>
      </c>
      <c r="F25" s="5">
        <v>24</v>
      </c>
      <c r="G25" s="6">
        <f t="shared" si="3"/>
        <v>-332031.98164904153</v>
      </c>
      <c r="H25" s="6">
        <f t="shared" si="4"/>
        <v>45079.081124558172</v>
      </c>
      <c r="I25" s="2"/>
    </row>
    <row r="26" spans="1:9" ht="15" x14ac:dyDescent="0.2">
      <c r="E26" s="5">
        <f t="shared" si="1"/>
        <v>-120</v>
      </c>
      <c r="F26" s="5">
        <v>25</v>
      </c>
      <c r="G26" s="6">
        <f t="shared" si="3"/>
        <v>-379535.50080841896</v>
      </c>
      <c r="H26" s="6">
        <f t="shared" si="4"/>
        <v>47503.519159377436</v>
      </c>
    </row>
    <row r="27" spans="1:9" ht="15" x14ac:dyDescent="0.2">
      <c r="E27" s="5">
        <f t="shared" si="1"/>
        <v>-132</v>
      </c>
      <c r="F27" s="5">
        <v>26</v>
      </c>
      <c r="G27" s="6">
        <f t="shared" si="3"/>
        <v>-429593.84885438182</v>
      </c>
      <c r="H27" s="6">
        <f t="shared" si="4"/>
        <v>50058.348045962863</v>
      </c>
    </row>
    <row r="28" spans="1:9" ht="15" x14ac:dyDescent="0.2">
      <c r="E28" s="5">
        <f t="shared" si="1"/>
        <v>-144</v>
      </c>
      <c r="F28" s="5">
        <v>27</v>
      </c>
      <c r="G28" s="6">
        <f t="shared" si="3"/>
        <v>-482344.42930471664</v>
      </c>
      <c r="H28" s="6">
        <f t="shared" si="4"/>
        <v>52750.580450334819</v>
      </c>
    </row>
    <row r="29" spans="1:9" ht="15" x14ac:dyDescent="0.2">
      <c r="E29" s="5">
        <f t="shared" si="1"/>
        <v>-156</v>
      </c>
      <c r="F29" s="5">
        <v>28</v>
      </c>
      <c r="G29" s="6">
        <f t="shared" si="3"/>
        <v>-537932.0354976391</v>
      </c>
      <c r="H29" s="6">
        <f t="shared" si="4"/>
        <v>55587.606192922452</v>
      </c>
    </row>
    <row r="30" spans="1:9" ht="15" x14ac:dyDescent="0.2">
      <c r="E30" s="5">
        <f t="shared" si="1"/>
        <v>-168</v>
      </c>
      <c r="F30" s="5">
        <v>29</v>
      </c>
      <c r="G30" s="6">
        <f t="shared" si="3"/>
        <v>-596509.24803028011</v>
      </c>
      <c r="H30" s="6">
        <f t="shared" si="4"/>
        <v>58577.212532641017</v>
      </c>
    </row>
    <row r="31" spans="1:9" ht="15" x14ac:dyDescent="0.2">
      <c r="E31" s="5">
        <f t="shared" si="1"/>
        <v>-180</v>
      </c>
      <c r="F31" s="5">
        <v>30</v>
      </c>
      <c r="G31" s="6">
        <f t="shared" si="3"/>
        <v>-658236.8535721621</v>
      </c>
      <c r="H31" s="6">
        <f t="shared" si="4"/>
        <v>61727.605541881989</v>
      </c>
    </row>
  </sheetData>
  <phoneticPr fontId="1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Sheet</vt:lpstr>
      <vt:lpstr>Sheet3</vt:lpstr>
      <vt:lpstr>Single DCF</vt:lpstr>
      <vt:lpstr>DCF</vt:lpstr>
      <vt:lpstr>Balloon Payment</vt:lpstr>
    </vt:vector>
  </TitlesOfParts>
  <Company>NY/UCD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</dc:creator>
  <cp:lastModifiedBy>megachile</cp:lastModifiedBy>
  <cp:lastPrinted>2004-01-22T17:56:32Z</cp:lastPrinted>
  <dcterms:created xsi:type="dcterms:W3CDTF">2002-04-15T06:45:46Z</dcterms:created>
  <dcterms:modified xsi:type="dcterms:W3CDTF">2017-08-18T14:00:40Z</dcterms:modified>
</cp:coreProperties>
</file>