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trlProps/ctrlProp1.xml" ContentType="application/vnd.ms-excel.controlproperties+xml"/>
  <Override PartName="/xl/ctrlProps/ctrlProp2.xml" ContentType="application/vnd.ms-excel.controlproperties+xml"/>
  <Override PartName="/xl/ctrlProps/ctrlProp3.xml" ContentType="application/vnd.ms-excel.controlproperties+xml"/>
  <Override PartName="/xl/ctrlProps/ctrlProp4.xml" ContentType="application/vnd.ms-excel.controlproperties+xml"/>
  <Override PartName="/xl/ctrlProps/ctrlProp5.xml" ContentType="application/vnd.ms-excel.controlproperties+xml"/>
  <Override PartName="/xl/ctrlProps/ctrlProp6.xml" ContentType="application/vnd.ms-excel.controlproperties+xml"/>
  <Override PartName="/xl/ctrlProps/ctrlProp7.xml" ContentType="application/vnd.ms-excel.controlproperties+xml"/>
  <Override PartName="/xl/ctrlProps/ctrlProp8.xml" ContentType="application/vnd.ms-excel.controlproperties+xml"/>
  <Override PartName="/xl/ctrlProps/ctrlProp9.xml" ContentType="application/vnd.ms-excel.controlproperties+xml"/>
  <Override PartName="/xl/ctrlProps/ctrlProp10.xml" ContentType="application/vnd.ms-excel.controlproperties+xml"/>
  <Override PartName="/xl/ctrlProps/ctrlProp11.xml" ContentType="application/vnd.ms-excel.controlproperties+xml"/>
  <Override PartName="/xl/ctrlProps/ctrlProp12.xml" ContentType="application/vnd.ms-excel.controlproperties+xml"/>
  <Override PartName="/xl/ctrlProps/ctrlProp13.xml" ContentType="application/vnd.ms-excel.controlproperties+xml"/>
  <Override PartName="/xl/ctrlProps/ctrlProp14.xml" ContentType="application/vnd.ms-excel.controlpropertie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date1904="1" showInkAnnotation="0" codeName="ThisWorkbook" autoCompressPictures="0"/>
  <mc:AlternateContent xmlns:mc="http://schemas.openxmlformats.org/markup-compatibility/2006">
    <mc:Choice Requires="x15">
      <x15ac:absPath xmlns:x15ac="http://schemas.microsoft.com/office/spreadsheetml/2010/11/ac" url="C:\Users\Megachile\Desktop\"/>
    </mc:Choice>
  </mc:AlternateContent>
  <bookViews>
    <workbookView xWindow="0" yWindow="465" windowWidth="25605" windowHeight="15945" tabRatio="500"/>
  </bookViews>
  <sheets>
    <sheet name="Repair Estimator" sheetId="12" r:id="rId1"/>
  </sheets>
  <externalReferences>
    <externalReference r:id="rId2"/>
    <externalReference r:id="rId3"/>
    <externalReference r:id="rId4"/>
    <externalReference r:id="rId5"/>
    <externalReference r:id="rId6"/>
  </externalReferences>
  <definedNames>
    <definedName name="_ProjectsArray">'[1]Project List'!$A$6:$J$49</definedName>
    <definedName name="BuiltIn_AutoFilter___1" localSheetId="0">#REF!</definedName>
    <definedName name="BuiltIn_AutoFilter___1">#REF!</definedName>
    <definedName name="BuiltIn_AutoFilter___1_1" localSheetId="0">#REF!</definedName>
    <definedName name="BuiltIn_AutoFilter___1_1">#REF!</definedName>
    <definedName name="BuiltIn_AutoFilter___1_2" localSheetId="0">#REF!</definedName>
    <definedName name="BuiltIn_AutoFilter___1_2">#REF!</definedName>
    <definedName name="BuiltIn_AutoFilter___1_3" localSheetId="0">#REF!</definedName>
    <definedName name="BuiltIn_AutoFilter___1_3">#REF!</definedName>
    <definedName name="BuiltIn_AutoFilter___1_4" localSheetId="0">#REF!</definedName>
    <definedName name="BuiltIn_AutoFilter___1_4">#REF!</definedName>
    <definedName name="BuiltIn_AutoFilter___1_5" localSheetId="0">#REF!</definedName>
    <definedName name="BuiltIn_AutoFilter___1_5">#REF!</definedName>
    <definedName name="Category">OFFSET([2]Lookup!$C$2,0,0,MIN(COUNTA([2]Lookup!$C$2:$C$100)))</definedName>
    <definedName name="Design">'[1]Project List'!$F$6:$F$49</definedName>
    <definedName name="Development">'[1]Project List'!$H$6:$H$49</definedName>
    <definedName name="Editorial">'[1]Project List'!$G$6:$G$49</definedName>
    <definedName name="Endorsement">'[1]Project List'!$E$6:$E$49</definedName>
    <definedName name="holidays">OFFSET([3]Holidays!$A$10,1,0,COUNTA([3]Holidays!$A$11:$A$4996),1)</definedName>
    <definedName name="HTML_CodePage" hidden="1">1252</definedName>
    <definedName name="HTML_Control" hidden="1">{"'Open Issues'!$A$1:$K$12","'Action Items'!$A$1:$F$30","'Risks'!$A$5:$I$10"}</definedName>
    <definedName name="HTML_Description" hidden="1">""</definedName>
    <definedName name="HTML_Email" hidden="1">"thomasmo"</definedName>
    <definedName name="HTML_Header" hidden="1">""</definedName>
    <definedName name="HTML_LastUpdate" hidden="1">"6/10/98"</definedName>
    <definedName name="HTML_LineAfter" hidden="1">FALSE</definedName>
    <definedName name="HTML_LineBefore" hidden="1">FALSE</definedName>
    <definedName name="HTML_Name" hidden="1">"Thomas Morrissey"</definedName>
    <definedName name="HTML_OBDlg2" hidden="1">TRUE</definedName>
    <definedName name="HTML_OBDlg4" hidden="1">TRUE</definedName>
    <definedName name="HTML_OS" hidden="1">0</definedName>
    <definedName name="HTML_PathFile" hidden="1">"D:\LVP1.0\Proj Mgt\LVP Action Items.htm"</definedName>
    <definedName name="HTML_Title" hidden="1">"LVP Action Items, Isues, Risks"</definedName>
    <definedName name="Launch">'[1]Project List'!$J$6:$J$49</definedName>
    <definedName name="LOB">OFFSET([2]Lookup!$D$2,0,0,MIN(COUNTA([2]Lookup!$D$2:$D$100)))</definedName>
    <definedName name="Ok">#REF!</definedName>
    <definedName name="_xlnm.Print_Area" localSheetId="0">'Repair Estimator'!$A$1:$L$264</definedName>
    <definedName name="Priority">OFFSET([2]Lookup!$B$2,0,0,MIN(COUNTA([2]Lookup!$B$2:$B$100)))</definedName>
    <definedName name="ProcApp" localSheetId="0">#REF!</definedName>
    <definedName name="ProcApp">#REF!</definedName>
    <definedName name="RowOffset">'[1]Project List'!$I$1</definedName>
    <definedName name="sort_range">'[4]Open Issues'!$3:$681</definedName>
    <definedName name="Spec">'[1]Project List'!$D$6:$D$49</definedName>
    <definedName name="Stat">'[5]Site Release Action Items List'!$E:$E</definedName>
    <definedName name="Status">OFFSET([2]Lookup!$A$2,0,0,MIN(COUNTA([2]Lookup!$A$2:$A$100)))</definedName>
    <definedName name="statuslist" localSheetId="0">#REF!</definedName>
    <definedName name="statuslist">#REF!</definedName>
    <definedName name="Testing">'[1]Project List'!$I$6:$I$49</definedName>
    <definedName name="valuevx">42.314159</definedName>
    <definedName name="Years">OFFSET([2]Lookup!$L$2,0,0,MIN(COUNTA([2]Lookup!$L$2:$L$20)))</definedName>
  </definedNames>
  <calcPr calcId="162913" concurrentCalc="0"/>
  <extLst>
    <ext xmlns:mx="http://schemas.microsoft.com/office/mac/excel/2008/main" uri="{7523E5D3-25F3-A5E0-1632-64F254C22452}">
      <mx:ArchID Flags="2"/>
    </ext>
  </extLst>
</workbook>
</file>

<file path=xl/calcChain.xml><?xml version="1.0" encoding="utf-8"?>
<calcChain xmlns="http://schemas.openxmlformats.org/spreadsheetml/2006/main">
  <c r="L225" i="12" l="1"/>
  <c r="L247" i="12"/>
  <c r="L240" i="12"/>
  <c r="L224" i="12"/>
  <c r="L239" i="12"/>
  <c r="L241" i="12"/>
  <c r="L242" i="12"/>
  <c r="L243" i="12"/>
  <c r="L244" i="12"/>
  <c r="L245" i="12"/>
  <c r="L246" i="12"/>
  <c r="L248" i="12"/>
  <c r="L223" i="12"/>
  <c r="L226" i="12"/>
  <c r="L12" i="12"/>
  <c r="L161" i="12"/>
  <c r="L162" i="12"/>
  <c r="L11" i="12"/>
  <c r="L13" i="12"/>
  <c r="L14" i="12"/>
  <c r="L9" i="12"/>
  <c r="L10" i="12"/>
  <c r="L15" i="12"/>
  <c r="L16" i="12"/>
  <c r="L17" i="12"/>
  <c r="L18" i="12"/>
  <c r="L19" i="12"/>
  <c r="L20" i="12"/>
  <c r="L21" i="12"/>
  <c r="L22" i="12"/>
  <c r="L23" i="12"/>
  <c r="L24" i="12"/>
  <c r="L25" i="12"/>
  <c r="L26" i="12"/>
  <c r="L27" i="12"/>
  <c r="L28" i="12"/>
  <c r="L29" i="12"/>
  <c r="L30" i="12"/>
  <c r="L31" i="12"/>
  <c r="L32" i="12"/>
  <c r="L33" i="12"/>
  <c r="L34" i="12"/>
  <c r="L35" i="12"/>
  <c r="L36" i="12"/>
  <c r="L37" i="12"/>
  <c r="L38" i="12"/>
  <c r="L39" i="12"/>
  <c r="L40" i="12"/>
  <c r="L41" i="12"/>
  <c r="L42" i="12"/>
  <c r="L51" i="12"/>
  <c r="L52" i="12"/>
  <c r="L53" i="12"/>
  <c r="L54" i="12"/>
  <c r="L55" i="12"/>
  <c r="L56" i="12"/>
  <c r="L57" i="12"/>
  <c r="L58" i="12"/>
  <c r="L59" i="12"/>
  <c r="L60" i="12"/>
  <c r="L61" i="12"/>
  <c r="L62" i="12"/>
  <c r="L63" i="12"/>
  <c r="L64" i="12"/>
  <c r="L65" i="12"/>
  <c r="L66" i="12"/>
  <c r="L67" i="12"/>
  <c r="L68" i="12"/>
  <c r="L69" i="12"/>
  <c r="L70" i="12"/>
  <c r="L71" i="12"/>
  <c r="L72" i="12"/>
  <c r="L73" i="12"/>
  <c r="L74" i="12"/>
  <c r="L75" i="12"/>
  <c r="L76" i="12"/>
  <c r="L77" i="12"/>
  <c r="L78" i="12"/>
  <c r="L79" i="12"/>
  <c r="L80" i="12"/>
  <c r="L81" i="12"/>
  <c r="L82" i="12"/>
  <c r="L83" i="12"/>
  <c r="L106" i="12"/>
  <c r="L107" i="12"/>
  <c r="L108" i="12"/>
  <c r="L109" i="12"/>
  <c r="L110" i="12"/>
  <c r="L111" i="12"/>
  <c r="L112" i="12"/>
  <c r="L113" i="12"/>
  <c r="L114" i="12"/>
  <c r="L115" i="12"/>
  <c r="L116" i="12"/>
  <c r="L117" i="12"/>
  <c r="L118" i="12"/>
  <c r="L119" i="12"/>
  <c r="L120" i="12"/>
  <c r="L121" i="12"/>
  <c r="L122" i="12"/>
  <c r="L123" i="12"/>
  <c r="L124" i="12"/>
  <c r="L125" i="12"/>
  <c r="L126" i="12"/>
  <c r="L127" i="12"/>
  <c r="L128" i="12"/>
  <c r="L129" i="12"/>
  <c r="L130" i="12"/>
  <c r="L131" i="12"/>
  <c r="L132" i="12"/>
  <c r="L133" i="12"/>
  <c r="L134" i="12"/>
  <c r="L135" i="12"/>
  <c r="L136" i="12"/>
  <c r="L137" i="12"/>
  <c r="L138" i="12"/>
  <c r="L139" i="12"/>
  <c r="L140" i="12"/>
  <c r="L141" i="12"/>
  <c r="L143" i="12"/>
  <c r="L144" i="12"/>
  <c r="L145" i="12"/>
  <c r="L146" i="12"/>
  <c r="L147" i="12"/>
  <c r="L148" i="12"/>
  <c r="L149" i="12"/>
  <c r="L150" i="12"/>
  <c r="L151" i="12"/>
  <c r="L152" i="12"/>
  <c r="L153" i="12"/>
  <c r="L159" i="12"/>
  <c r="L160" i="12"/>
  <c r="L163" i="12"/>
  <c r="L164" i="12"/>
  <c r="L165" i="12"/>
  <c r="L166" i="12"/>
  <c r="L167" i="12"/>
  <c r="L168" i="12"/>
  <c r="L169" i="12"/>
  <c r="L170" i="12"/>
  <c r="L171" i="12"/>
  <c r="L172" i="12"/>
  <c r="L173" i="12"/>
  <c r="L174" i="12"/>
  <c r="L175" i="12"/>
  <c r="L176" i="12"/>
  <c r="L177" i="12"/>
  <c r="L178" i="12"/>
  <c r="L179" i="12"/>
  <c r="L180" i="12"/>
  <c r="L181" i="12"/>
  <c r="L182" i="12"/>
  <c r="L183" i="12"/>
  <c r="L184" i="12"/>
  <c r="L185" i="12"/>
  <c r="L186" i="12"/>
  <c r="L187" i="12"/>
  <c r="L188" i="12"/>
  <c r="L189" i="12"/>
  <c r="L190" i="12"/>
  <c r="L191" i="12"/>
  <c r="L192" i="12"/>
  <c r="L193" i="12"/>
  <c r="L194" i="12"/>
  <c r="L195" i="12"/>
  <c r="L215" i="12"/>
  <c r="L216" i="12"/>
  <c r="L217" i="12"/>
  <c r="L218" i="12"/>
  <c r="L219" i="12"/>
  <c r="L220" i="12"/>
  <c r="L221" i="12"/>
  <c r="L222" i="12"/>
  <c r="L227" i="12"/>
  <c r="L228" i="12"/>
  <c r="L229" i="12"/>
  <c r="L230" i="12"/>
  <c r="L234" i="12"/>
  <c r="L235" i="12"/>
  <c r="L236" i="12"/>
  <c r="L237" i="12"/>
  <c r="L238" i="12"/>
  <c r="L249" i="12"/>
  <c r="K250" i="12"/>
  <c r="L252" i="12"/>
  <c r="L251" i="12"/>
  <c r="K253" i="12"/>
  <c r="K252" i="12"/>
  <c r="J256" i="12"/>
  <c r="J255" i="12"/>
  <c r="E256" i="12"/>
  <c r="E255" i="12"/>
  <c r="E257" i="12"/>
</calcChain>
</file>

<file path=xl/sharedStrings.xml><?xml version="1.0" encoding="utf-8"?>
<sst xmlns="http://schemas.openxmlformats.org/spreadsheetml/2006/main" count="482" uniqueCount="265">
  <si>
    <t>Shower wall tile - in bathrooms (70 sf usually)</t>
  </si>
  <si>
    <t>High end kitchen</t>
  </si>
  <si>
    <t>Median kitchen</t>
  </si>
  <si>
    <t>Low end kitchen</t>
  </si>
  <si>
    <t>Low end kitchen - refinish existing cabinets</t>
  </si>
  <si>
    <t>New interior doors, closet doors, hardware, &amp; trim (3000 sq ft house)</t>
  </si>
  <si>
    <t>New interior doors, closet doors, hardware, &amp; trim (1500 sq ft house)</t>
  </si>
  <si>
    <t>Fireplace/chimney, brick/stone - replace existing</t>
  </si>
  <si>
    <t>Rewire entire house, new panel, &amp; lighting fixtures (1,500 sqft)</t>
  </si>
  <si>
    <t>Install sump pump</t>
    <phoneticPr fontId="4" type="noConversion"/>
  </si>
  <si>
    <t>ea</t>
    <phoneticPr fontId="4" type="noConversion"/>
  </si>
  <si>
    <t>Construction permits for addition (city)</t>
  </si>
  <si>
    <t>Construction permits for deck (city)</t>
  </si>
  <si>
    <t>Construction permits over the counter</t>
  </si>
  <si>
    <t>Construction permits for full submittal (county)</t>
  </si>
  <si>
    <t>Construction permits for deck (county)</t>
  </si>
  <si>
    <t>Concrete/Asphalt</t>
  </si>
  <si>
    <t>Cost</t>
  </si>
  <si>
    <t>Drywall, tape &amp; skimcoat walls/ceilings in gutted house</t>
  </si>
  <si>
    <t>Repair existing foundation - settled walls support w/piers</t>
  </si>
  <si>
    <t>New plumbing system in entire house (1,500 sq. ft 3/2 house)</t>
  </si>
  <si>
    <t>Basic electrical work for house &amp; lighting fixtures (1500 sq. ft)</t>
  </si>
  <si>
    <t>Staging</t>
  </si>
  <si>
    <t>Contingency</t>
  </si>
  <si>
    <t>OTHER</t>
  </si>
  <si>
    <t>HVAC</t>
  </si>
  <si>
    <t>Plumbing</t>
  </si>
  <si>
    <t>Electrical</t>
  </si>
  <si>
    <t>INTERIOR</t>
  </si>
  <si>
    <t>EXTERIOR</t>
  </si>
  <si>
    <t>Y/N</t>
  </si>
  <si>
    <t>#</t>
  </si>
  <si>
    <t>Gutters</t>
  </si>
  <si>
    <t>Finish</t>
  </si>
  <si>
    <t>Masonry</t>
  </si>
  <si>
    <t>Painting</t>
  </si>
  <si>
    <t>Windows</t>
  </si>
  <si>
    <t>Garage</t>
  </si>
  <si>
    <t>Landscaping</t>
  </si>
  <si>
    <t>Decks</t>
  </si>
  <si>
    <t>Pergola</t>
  </si>
  <si>
    <t>Fence</t>
  </si>
  <si>
    <t>Hardwood</t>
  </si>
  <si>
    <t>Carpet / Vinyl</t>
  </si>
  <si>
    <t>Tiling</t>
  </si>
  <si>
    <t>Framing</t>
  </si>
  <si>
    <t>Insulation</t>
  </si>
  <si>
    <t>Walls</t>
  </si>
  <si>
    <t>Doors &amp; Trim</t>
  </si>
  <si>
    <t>Basement</t>
  </si>
  <si>
    <t>Demo &amp; Dumpsters</t>
  </si>
  <si>
    <t>INTERIOR (cont.)</t>
  </si>
  <si>
    <t>EXTERIOR (cont.)</t>
  </si>
  <si>
    <t>Exterior Notes</t>
  </si>
  <si>
    <t>Interior Notes</t>
  </si>
  <si>
    <t>MECHANICALS</t>
  </si>
  <si>
    <t>Attic insulation, blown-in</t>
  </si>
  <si>
    <t>Drywall, tape, &amp; skimcoat a wall (1/2" thick)</t>
  </si>
  <si>
    <t>Drywall, tape, &amp; skimcoat a ceiling (1/2" thick)</t>
  </si>
  <si>
    <t>Skimcoating/texturing walls and ceilings only</t>
  </si>
  <si>
    <t>Patchwork section of a wall - (drywall, tape, &amp; finish)</t>
  </si>
  <si>
    <t>Interior door - prehung hollow-core door</t>
  </si>
  <si>
    <t>Interior sliding closet door</t>
  </si>
  <si>
    <t>Exterior front door - single door w/ hardware &amp; dead bolt</t>
  </si>
  <si>
    <t>Exterior french patio door - double door</t>
  </si>
  <si>
    <t>Exterior sliding glass door - double door</t>
  </si>
  <si>
    <t>Crown molding</t>
  </si>
  <si>
    <t>New baseboard trim</t>
  </si>
  <si>
    <t>Raised panel wood wainscoting</t>
  </si>
  <si>
    <t>Pour concrete floor in basement</t>
  </si>
  <si>
    <t>sy</t>
  </si>
  <si>
    <t>Seal basement</t>
  </si>
  <si>
    <t>Reframe support beam</t>
  </si>
  <si>
    <t>Replace stairs</t>
  </si>
  <si>
    <t>Excavation - dig footing trenching</t>
  </si>
  <si>
    <t>Excavation - backfill of trenches</t>
  </si>
  <si>
    <t>New foundation - pour concrete footing</t>
  </si>
  <si>
    <t>New foundation - pour concrete slab on grade (4" thick)</t>
  </si>
  <si>
    <t>New foundation - pour stem wall for single story house</t>
  </si>
  <si>
    <t>Repair existing foundation -  ($10k min - get quote)</t>
  </si>
  <si>
    <t>Repair existing foundation -  stair mud jacking (will vary)</t>
  </si>
  <si>
    <t>Repair existing foundation - bowing walls support with I beams</t>
  </si>
  <si>
    <t>Gas fired forced hot air heating system, ac system, &amp; ductwork</t>
  </si>
  <si>
    <t>Gas fired forced hot air heating system &amp; ductwork</t>
  </si>
  <si>
    <t>Gas fired forced hot air unit only</t>
  </si>
  <si>
    <t>Air conditioning unit only</t>
  </si>
  <si>
    <t>Replace forced air ductwork only</t>
  </si>
  <si>
    <t>Replace boiler &amp; hot water baseboard system</t>
  </si>
  <si>
    <t>Replace boiler unit only</t>
  </si>
  <si>
    <t>Wall heater (install new or remove &amp; replace)</t>
  </si>
  <si>
    <t>Service heating &amp; cooling system only</t>
  </si>
  <si>
    <t>Replace tankless hot water heater</t>
  </si>
  <si>
    <t>Replace gas hot water heater - 40 gallon</t>
  </si>
  <si>
    <t>Replace electrical panel only</t>
  </si>
  <si>
    <t>Replace all lighting fixtures only (1500 sq. ft. house)</t>
  </si>
  <si>
    <t>Demolition work (cost to fill one 40 yd dumpster)</t>
  </si>
  <si>
    <t>Dumpster rental (40 yard)</t>
  </si>
  <si>
    <t>Termite fumigation &amp; treatment</t>
  </si>
  <si>
    <t>Mold removal &amp; abatement - minimum</t>
  </si>
  <si>
    <t>Asbestos removal &amp; abatement - minimum</t>
  </si>
  <si>
    <t>Construction permits for remodel (city)</t>
  </si>
  <si>
    <t>Gravel installed for driveway/sidewalk</t>
  </si>
  <si>
    <t>New deck 15'x15' (add permit if 30" off ground)</t>
  </si>
  <si>
    <t>New deck 10'x10'</t>
  </si>
  <si>
    <t>New deck - treated lumber</t>
  </si>
  <si>
    <t>New deck - cedar material</t>
  </si>
  <si>
    <t>Decking material replacement only</t>
  </si>
  <si>
    <t>Sand &amp; refinish deck only</t>
  </si>
  <si>
    <t>New railings - wood</t>
  </si>
  <si>
    <t>New railings - metal</t>
  </si>
  <si>
    <t>New pergola canopy 15'x15'</t>
  </si>
  <si>
    <t>New pergola canopy 10'x10'</t>
  </si>
  <si>
    <t>Wood fencing</t>
  </si>
  <si>
    <t>Wrought iron fencing</t>
  </si>
  <si>
    <t>Pool Completely Redone ($10k to $15k)</t>
  </si>
  <si>
    <t>Pool (redo plaster only)</t>
  </si>
  <si>
    <t>Ceramic floor tile - other areas of house</t>
  </si>
  <si>
    <t>Septic (all new system)</t>
  </si>
  <si>
    <t>Septic (new tank only)</t>
  </si>
  <si>
    <t>Septic (replace leach field only)</t>
  </si>
  <si>
    <t>Interior painting only</t>
  </si>
  <si>
    <t>Add extra wall prep (damaged walls)</t>
  </si>
  <si>
    <t>Hardwood flooring - solid wood</t>
  </si>
  <si>
    <t>Engineered hardwood flooring</t>
  </si>
  <si>
    <t>Laminate hardwood flooring</t>
  </si>
  <si>
    <t>Sand &amp; refinish existing hardwood flooring</t>
  </si>
  <si>
    <t>Carpet</t>
  </si>
  <si>
    <t>Vinyl or linoleum flooring</t>
  </si>
  <si>
    <t>Ceramic floor tile - in kitchen</t>
  </si>
  <si>
    <t>Backsplash wall tile - in kitchen</t>
  </si>
  <si>
    <t>Ceramic floor tile - in bathrooms</t>
  </si>
  <si>
    <t>Shower accent wall tile - in bathrooms</t>
  </si>
  <si>
    <t>Kitchen extra custom items</t>
  </si>
  <si>
    <t>Luxury home appliances</t>
  </si>
  <si>
    <t>Median price home appliances</t>
  </si>
  <si>
    <t>Low end home appliances</t>
  </si>
  <si>
    <t>Cabinets</t>
  </si>
  <si>
    <t>Countertops</t>
  </si>
  <si>
    <t>Sink</t>
  </si>
  <si>
    <t>Sink Faucet</t>
  </si>
  <si>
    <t>Garbage Disposal</t>
  </si>
  <si>
    <t>Refrigerator</t>
  </si>
  <si>
    <t>Range</t>
  </si>
  <si>
    <t>Range Hood</t>
  </si>
  <si>
    <t>Dishwasher</t>
  </si>
  <si>
    <t>Microwave</t>
  </si>
  <si>
    <t>Large master bath - replace everything</t>
  </si>
  <si>
    <t>Full bath - replace everything</t>
  </si>
  <si>
    <t>Half bath - replace everything</t>
  </si>
  <si>
    <t>Vanity cabinet</t>
  </si>
  <si>
    <t>Vanity countertop - granite or other hard surface</t>
  </si>
  <si>
    <t>Vanity mirror</t>
  </si>
  <si>
    <t>Toilet</t>
  </si>
  <si>
    <t>Bathtub - fiberglass</t>
  </si>
  <si>
    <t>Bathtub &amp; shower surround - fiberglass</t>
  </si>
  <si>
    <t>Shower stall &amp; surround - fiberglass</t>
  </si>
  <si>
    <t>Showerhead &amp; faucet kit</t>
  </si>
  <si>
    <t>Bathroom towel bar kit</t>
  </si>
  <si>
    <t>Open load bearing/structural wall</t>
  </si>
  <si>
    <t>Subfloor put in (3/4" plywood)</t>
  </si>
  <si>
    <t>Wall insulation</t>
  </si>
  <si>
    <t>Floor insulation</t>
  </si>
  <si>
    <t>Category</t>
  </si>
  <si>
    <t>Repair Type</t>
  </si>
  <si>
    <t>Total</t>
  </si>
  <si>
    <t>Unit</t>
  </si>
  <si>
    <t>sf</t>
  </si>
  <si>
    <t>Roof Sheathing - plywood 1/2" remove &amp; install</t>
  </si>
  <si>
    <t>Roof repair/patch (hard)</t>
  </si>
  <si>
    <t>ea</t>
  </si>
  <si>
    <t>Roof repair/patch (easy)</t>
  </si>
  <si>
    <t>Premium for 3 layer tear off</t>
  </si>
  <si>
    <t>Premium for steep pitched roof</t>
  </si>
  <si>
    <t>Fascia - demo &amp; install new</t>
  </si>
  <si>
    <t>lf</t>
  </si>
  <si>
    <t>Soffit - demo &amp; install new</t>
  </si>
  <si>
    <t>Gutters &amp; downspouts - demo &amp; install new (Flat Cost)</t>
  </si>
  <si>
    <t>Gutters &amp; downspouts - demo &amp; install new (linear foot)</t>
  </si>
  <si>
    <t>Demo existing finishing material</t>
  </si>
  <si>
    <t>Stucco</t>
  </si>
  <si>
    <t>Wood siding</t>
  </si>
  <si>
    <t>Vinyl siding</t>
  </si>
  <si>
    <t>Fiber cement siding</t>
  </si>
  <si>
    <t>Plywood panel siding</t>
  </si>
  <si>
    <t>Patch an exterior section</t>
  </si>
  <si>
    <t>ls</t>
  </si>
  <si>
    <t>Power wash exterior finish</t>
  </si>
  <si>
    <t>Concrete block</t>
  </si>
  <si>
    <t>Stone</t>
  </si>
  <si>
    <t>Brick</t>
  </si>
  <si>
    <t>Tuckpoint brick</t>
  </si>
  <si>
    <t>Power wash exterior masonry</t>
  </si>
  <si>
    <t>Painting both exterior &amp; interior (whole property)</t>
  </si>
  <si>
    <t>Painting exterior only</t>
  </si>
  <si>
    <t>Paint trim only</t>
  </si>
  <si>
    <t>Sand &amp; refinish deck or paint deck</t>
  </si>
  <si>
    <t>Paint fence</t>
  </si>
  <si>
    <t>Paint detached garage</t>
  </si>
  <si>
    <t>Windows, vinyl, average size</t>
  </si>
  <si>
    <t>Windows, wood, restore existing wood (historical)</t>
  </si>
  <si>
    <t>Window, large bay window - remove &amp; replace</t>
  </si>
  <si>
    <t>Garage Door Only -  1 Car - 9'x7'  door, manual</t>
  </si>
  <si>
    <t>Garage Door Only - 2 Car - 16' door, manual</t>
  </si>
  <si>
    <t>Garage Door Opener Installed</t>
  </si>
  <si>
    <t>Reroof detached garage (rip &amp; replace)</t>
  </si>
  <si>
    <t>Build new detached garage</t>
  </si>
  <si>
    <t>Full landscaping makeover large lot</t>
  </si>
  <si>
    <t>Full landscaping makeover medium lot</t>
  </si>
  <si>
    <t>Full landscaping makeover small lot</t>
  </si>
  <si>
    <t>Clean up landscaping &amp; yard only</t>
  </si>
  <si>
    <t>Tree removal (per tree)</t>
  </si>
  <si>
    <t>Tree Planting (per tree)</t>
  </si>
  <si>
    <t>Demo existing concrete or asphalt</t>
  </si>
  <si>
    <t>Concrete installed for driveway/patio/sidewalk</t>
  </si>
  <si>
    <t>Asphalt installed in driveway</t>
  </si>
  <si>
    <t>Repair Estimator</t>
  </si>
  <si>
    <t xml:space="preserve">* Additional Mediator/Engineer/Pro Quotes Needed: </t>
  </si>
  <si>
    <t>Roof *</t>
  </si>
  <si>
    <t>Pool *</t>
  </si>
  <si>
    <t>Septic *</t>
  </si>
  <si>
    <t>Foundation *</t>
  </si>
  <si>
    <t>Permits *</t>
  </si>
  <si>
    <t>Termites/Abatement *</t>
  </si>
  <si>
    <t>Includes: cabinets, counter-tops, backsplash, plumbing &amp; electrical work &amp; fixtures in kitchen only. Excludes: appliances, flooring, paint.</t>
  </si>
  <si>
    <t>Kitchen - (Grouped)</t>
  </si>
  <si>
    <t>Includes: Refrigerator, range, range hood, dishwasher, microwave</t>
  </si>
  <si>
    <t>Appliances - (Grouped)</t>
  </si>
  <si>
    <t>Kitchen - (By Item)</t>
  </si>
  <si>
    <t>Includes: vanity, counter-top, mirror, sink, faucet, tub, surround, shower-head &amp; faucet kit, towel bar kit fan, lighting kit, basic plumbing &amp; electrical work. Excludes flooring &amp; paint</t>
  </si>
  <si>
    <t>Bathroom - (Grouped)</t>
  </si>
  <si>
    <t>Bathroom - (By Item)</t>
  </si>
  <si>
    <t>%</t>
  </si>
  <si>
    <t>Staging (Kitchen, Baths, Living Room &amp; 1 Bedroom)</t>
  </si>
  <si>
    <t>Date:</t>
  </si>
  <si>
    <t>After Repair Value</t>
  </si>
  <si>
    <t>Address:</t>
  </si>
  <si>
    <t>Bed:</t>
  </si>
  <si>
    <t>Sq Ft:</t>
  </si>
  <si>
    <t>Vacant:</t>
  </si>
  <si>
    <t>Inspected By:</t>
  </si>
  <si>
    <t>Bath:</t>
  </si>
  <si>
    <t>Exterior Repairs</t>
  </si>
  <si>
    <t>Interior Repairs</t>
  </si>
  <si>
    <t>COST ESTIMATES</t>
  </si>
  <si>
    <t>Mechanical Repairs</t>
  </si>
  <si>
    <t>Other Repairs</t>
  </si>
  <si>
    <t>New construction framing- (includes walls, floors &amp; roof)</t>
  </si>
  <si>
    <t>Interior framing changes (non load barring)</t>
  </si>
  <si>
    <t>Possible additional Inspections, Quotes or Mediation needed</t>
  </si>
  <si>
    <t>Install french drains (estimate depending on condition - L x W)</t>
  </si>
  <si>
    <r>
      <rPr>
        <b/>
        <sz val="7"/>
        <color rgb="FF000000"/>
        <rFont val="Calibri"/>
        <scheme val="minor"/>
      </rPr>
      <t>Note</t>
    </r>
    <r>
      <rPr>
        <sz val="7"/>
        <color rgb="FF000000"/>
        <rFont val="Calibri"/>
        <scheme val="minor"/>
      </rPr>
      <t>: add anything that is not currently on the sheet</t>
    </r>
  </si>
  <si>
    <t>Extra</t>
  </si>
  <si>
    <t>Total Repairs</t>
  </si>
  <si>
    <t>Repairs Subtotal</t>
  </si>
  <si>
    <t>Possible add'l Inspections needed</t>
  </si>
  <si>
    <t>Roof (rip and replace) - architectural shingle</t>
  </si>
  <si>
    <t>Rollover (add a layer of shingles) - architectural shingle</t>
  </si>
  <si>
    <t>Chain-link fence</t>
  </si>
  <si>
    <t>High end home appliances</t>
  </si>
  <si>
    <t>Construction permits for addition (county)</t>
  </si>
  <si>
    <t>About this Repair Estimator</t>
  </si>
  <si>
    <t>Misc Contingency Cost (10-20% depending on unknowns)</t>
  </si>
  <si>
    <t>* Pricing will vary based on what type of contractors you get quotes back from. Prices will also vary based on the type materials (low end/high end) you ultimately choose to install. As you start to regularly work with certain contractors you will want to update this repair estimator twice a year based on who you work with and what prices you are able to negotiate. You always want to negotiate quotes you get back and shoot for wholesale pricing.</t>
  </si>
  <si>
    <t>1234 Main St, San Diego, CA</t>
  </si>
  <si>
    <t>PREPC-V2-01112016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</si>
</sst>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0">
    <numFmt numFmtId="5" formatCode="&quot;£&quot;#,##0;\-&quot;£&quot;#,##0"/>
    <numFmt numFmtId="41" formatCode="_-* #,##0_-;\-* #,##0_-;_-* &quot;-&quot;_-;_-@_-"/>
    <numFmt numFmtId="43" formatCode="_-* #,##0.00_-;\-* #,##0.00_-;_-* &quot;-&quot;??_-;_-@_-"/>
    <numFmt numFmtId="164" formatCode="&quot;$&quot;#,##0.00_);[Red]\(&quot;$&quot;#,##0.00\)"/>
    <numFmt numFmtId="165" formatCode="_(&quot;$&quot;* #,##0.00_);_(&quot;$&quot;* \(#,##0.00\);_(&quot;$&quot;* &quot;-&quot;??_);_(@_)"/>
    <numFmt numFmtId="166" formatCode="_(* #,##0.00_);_(* \(#,##0.00\);_(* &quot;-&quot;??_);_(@_)"/>
    <numFmt numFmtId="167" formatCode="&quot;$&quot;#,##0"/>
    <numFmt numFmtId="168" formatCode="#,##0.00;\-#,##0.00;&quot;-&quot;"/>
    <numFmt numFmtId="169" formatCode="#,##0%;\-#,##0%;&quot;- &quot;"/>
    <numFmt numFmtId="170" formatCode="#,##0.0%;\-#,##0.0%;&quot;- &quot;"/>
    <numFmt numFmtId="171" formatCode="#,##0.00%;\-#,##0.00%;&quot;- &quot;"/>
    <numFmt numFmtId="172" formatCode="#,##0;\-#,##0;&quot;-&quot;"/>
    <numFmt numFmtId="173" formatCode="#,##0.0;\-#,##0.0;&quot;-&quot;"/>
    <numFmt numFmtId="174" formatCode="0.000_)"/>
    <numFmt numFmtId="175" formatCode="0.00_)"/>
    <numFmt numFmtId="176" formatCode="[$-F800]dddd\,\ mmmm\ dd\,\ yyyy"/>
    <numFmt numFmtId="177" formatCode="0%;\(0%\)"/>
    <numFmt numFmtId="178" formatCode="\ \ @"/>
    <numFmt numFmtId="179" formatCode="\ \ \ \ @"/>
    <numFmt numFmtId="180" formatCode="m/d/yy;@"/>
  </numFmts>
  <fonts count="39" x14ac:knownFonts="1"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u/>
      <sz val="12"/>
      <color theme="10"/>
      <name val="Calibri"/>
      <family val="2"/>
      <scheme val="minor"/>
    </font>
    <font>
      <u/>
      <sz val="12"/>
      <color theme="11"/>
      <name val="Calibri"/>
      <family val="2"/>
      <scheme val="minor"/>
    </font>
    <font>
      <sz val="8"/>
      <name val="Calibri"/>
      <family val="2"/>
      <scheme val="minor"/>
    </font>
    <font>
      <b/>
      <sz val="16"/>
      <color theme="1"/>
      <name val="Calibri"/>
      <scheme val="minor"/>
    </font>
    <font>
      <sz val="10"/>
      <color theme="1"/>
      <name val="Calibri"/>
      <scheme val="minor"/>
    </font>
    <font>
      <b/>
      <sz val="10"/>
      <color theme="1"/>
      <name val="Calibri"/>
      <scheme val="minor"/>
    </font>
    <font>
      <sz val="9"/>
      <color theme="1"/>
      <name val="Calibri"/>
      <scheme val="minor"/>
    </font>
    <font>
      <sz val="10"/>
      <color indexed="8"/>
      <name val="Calibri"/>
    </font>
    <font>
      <b/>
      <sz val="10"/>
      <color indexed="8"/>
      <name val="Calibri"/>
    </font>
    <font>
      <b/>
      <sz val="28"/>
      <color theme="1"/>
      <name val="Calibri"/>
      <scheme val="minor"/>
    </font>
    <font>
      <sz val="11"/>
      <color rgb="FF000000"/>
      <name val="Calibri"/>
      <scheme val="minor"/>
    </font>
    <font>
      <sz val="11"/>
      <color theme="1"/>
      <name val="Calibri"/>
      <scheme val="minor"/>
    </font>
    <font>
      <sz val="7"/>
      <color theme="1"/>
      <name val="Calibri"/>
      <scheme val="minor"/>
    </font>
    <font>
      <sz val="7"/>
      <color rgb="FF000000"/>
      <name val="Calibri"/>
      <scheme val="minor"/>
    </font>
    <font>
      <sz val="6"/>
      <color theme="1"/>
      <name val="Calibri"/>
      <scheme val="minor"/>
    </font>
    <font>
      <b/>
      <sz val="14"/>
      <color theme="1"/>
      <name val="Calibri"/>
      <scheme val="minor"/>
    </font>
    <font>
      <sz val="10"/>
      <name val="Arial"/>
      <family val="2"/>
    </font>
    <font>
      <sz val="8"/>
      <name val="Arial"/>
      <family val="2"/>
    </font>
    <font>
      <sz val="9"/>
      <name val="Arial"/>
      <family val="2"/>
    </font>
    <font>
      <b/>
      <sz val="12"/>
      <name val="Arial"/>
      <family val="2"/>
    </font>
    <font>
      <sz val="10"/>
      <color indexed="8"/>
      <name val="Arial"/>
      <family val="2"/>
    </font>
    <font>
      <sz val="11"/>
      <name val="Times"/>
      <family val="1"/>
    </font>
    <font>
      <sz val="10"/>
      <color indexed="12"/>
      <name val="Arial"/>
      <family val="2"/>
    </font>
    <font>
      <u/>
      <sz val="8"/>
      <color indexed="12"/>
      <name val="Arial"/>
      <family val="2"/>
    </font>
    <font>
      <u/>
      <sz val="10"/>
      <color indexed="12"/>
      <name val="Verdana"/>
      <family val="2"/>
    </font>
    <font>
      <sz val="10"/>
      <color indexed="14"/>
      <name val="Arial"/>
      <family val="2"/>
    </font>
    <font>
      <b/>
      <i/>
      <sz val="16"/>
      <name val="Helvetica"/>
      <family val="2"/>
    </font>
    <font>
      <sz val="11"/>
      <color indexed="8"/>
      <name val="Calibri"/>
      <family val="2"/>
    </font>
    <font>
      <sz val="12"/>
      <color indexed="8"/>
      <name val="Calibri"/>
      <family val="2"/>
    </font>
    <font>
      <sz val="9"/>
      <color indexed="8"/>
      <name val="Calibri"/>
      <family val="2"/>
    </font>
    <font>
      <sz val="10"/>
      <color indexed="10"/>
      <name val="Arial"/>
      <family val="2"/>
    </font>
    <font>
      <u/>
      <sz val="8.4"/>
      <color indexed="12"/>
      <name val="Arial"/>
      <family val="2"/>
    </font>
    <font>
      <sz val="14"/>
      <color theme="1"/>
      <name val="Calibri"/>
      <scheme val="minor"/>
    </font>
    <font>
      <b/>
      <sz val="7"/>
      <color rgb="FF000000"/>
      <name val="Calibri"/>
      <scheme val="minor"/>
    </font>
    <font>
      <b/>
      <sz val="9"/>
      <color theme="1"/>
      <name val="Calibri"/>
      <scheme val="minor"/>
    </font>
    <font>
      <sz val="8"/>
      <color theme="1"/>
      <name val="Calibri"/>
      <scheme val="minor"/>
    </font>
    <font>
      <sz val="7"/>
      <color rgb="FF000000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rgb="FFFFFFFF"/>
        <bgColor rgb="FF000000"/>
      </patternFill>
    </fill>
    <fill>
      <patternFill patternType="solid">
        <fgColor theme="0" tint="-0.14999847407452621"/>
        <bgColor indexed="64"/>
      </patternFill>
    </fill>
  </fills>
  <borders count="40">
    <border>
      <left/>
      <right/>
      <top/>
      <bottom/>
      <diagonal/>
    </border>
    <border>
      <left style="thin">
        <color theme="0" tint="-0.499984740745262"/>
      </left>
      <right style="thin">
        <color theme="0" tint="-0.499984740745262"/>
      </right>
      <top style="thin">
        <color theme="0" tint="-0.499984740745262"/>
      </top>
      <bottom style="thin">
        <color theme="0" tint="-0.499984740745262"/>
      </bottom>
      <diagonal/>
    </border>
    <border>
      <left style="thin">
        <color theme="0" tint="-0.499984740745262"/>
      </left>
      <right style="thin">
        <color theme="0" tint="-0.499984740745262"/>
      </right>
      <top style="thin">
        <color theme="0" tint="-0.499984740745262"/>
      </top>
      <bottom/>
      <diagonal/>
    </border>
    <border>
      <left/>
      <right style="thin">
        <color theme="0" tint="-0.499984740745262"/>
      </right>
      <top style="thin">
        <color theme="0" tint="-0.499984740745262"/>
      </top>
      <bottom style="thin">
        <color theme="0" tint="-0.499984740745262"/>
      </bottom>
      <diagonal/>
    </border>
    <border>
      <left/>
      <right/>
      <top style="thin">
        <color theme="0" tint="-0.499984740745262"/>
      </top>
      <bottom style="thin">
        <color theme="0" tint="-0.499984740745262"/>
      </bottom>
      <diagonal/>
    </border>
    <border>
      <left/>
      <right/>
      <top/>
      <bottom style="thin">
        <color theme="0" tint="-0.499984740745262"/>
      </bottom>
      <diagonal/>
    </border>
    <border>
      <left/>
      <right style="thin">
        <color theme="0" tint="-0.499984740745262"/>
      </right>
      <top style="thick">
        <color theme="0" tint="-0.499984740745262"/>
      </top>
      <bottom style="thin">
        <color theme="0" tint="-0.499984740745262"/>
      </bottom>
      <diagonal/>
    </border>
    <border>
      <left style="thin">
        <color theme="0" tint="-0.499984740745262"/>
      </left>
      <right style="thin">
        <color theme="0" tint="-0.499984740745262"/>
      </right>
      <top style="thick">
        <color theme="0" tint="-0.499984740745262"/>
      </top>
      <bottom style="thin">
        <color theme="0" tint="-0.499984740745262"/>
      </bottom>
      <diagonal/>
    </border>
    <border>
      <left style="thin">
        <color theme="0" tint="-0.499984740745262"/>
      </left>
      <right style="thin">
        <color theme="0" tint="-0.499984740745262"/>
      </right>
      <top style="thin">
        <color theme="0" tint="-0.499984740745262"/>
      </top>
      <bottom style="thick">
        <color theme="0" tint="-0.499984740745262"/>
      </bottom>
      <diagonal/>
    </border>
    <border>
      <left style="thin">
        <color theme="0" tint="-0.499984740745262"/>
      </left>
      <right/>
      <top style="thin">
        <color theme="0" tint="-0.499984740745262"/>
      </top>
      <bottom style="thin">
        <color theme="0" tint="-0.499984740745262"/>
      </bottom>
      <diagonal/>
    </border>
    <border>
      <left/>
      <right/>
      <top style="medium">
        <color auto="1"/>
      </top>
      <bottom style="medium">
        <color auto="1"/>
      </bottom>
      <diagonal/>
    </border>
    <border>
      <left style="thin">
        <color theme="0" tint="-0.499984740745262"/>
      </left>
      <right/>
      <top/>
      <bottom style="thin">
        <color theme="0" tint="-0.499984740745262"/>
      </bottom>
      <diagonal/>
    </border>
    <border>
      <left/>
      <right style="thin">
        <color theme="0" tint="-0.499984740745262"/>
      </right>
      <top/>
      <bottom style="thin">
        <color theme="0" tint="-0.499984740745262"/>
      </bottom>
      <diagonal/>
    </border>
    <border>
      <left style="thin">
        <color theme="0" tint="-0.499984740745262"/>
      </left>
      <right/>
      <top/>
      <bottom/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theme="0" tint="-0.499984740745262"/>
      </right>
      <top/>
      <bottom/>
      <diagonal/>
    </border>
    <border>
      <left style="thin">
        <color theme="0" tint="-0.499984740745262"/>
      </left>
      <right/>
      <top style="thin">
        <color theme="0" tint="-0.499984740745262"/>
      </top>
      <bottom/>
      <diagonal/>
    </border>
    <border>
      <left/>
      <right/>
      <top style="thin">
        <color theme="0" tint="-0.499984740745262"/>
      </top>
      <bottom/>
      <diagonal/>
    </border>
    <border>
      <left/>
      <right style="thin">
        <color theme="0" tint="-0.499984740745262"/>
      </right>
      <top style="thin">
        <color theme="0" tint="-0.499984740745262"/>
      </top>
      <bottom/>
      <diagonal/>
    </border>
    <border>
      <left style="thin">
        <color theme="0" tint="-0.499984740745262"/>
      </left>
      <right/>
      <top style="thick">
        <color theme="0" tint="-0.499984740745262"/>
      </top>
      <bottom/>
      <diagonal/>
    </border>
    <border>
      <left/>
      <right style="thin">
        <color theme="0" tint="-0.499984740745262"/>
      </right>
      <top style="thick">
        <color theme="0" tint="-0.499984740745262"/>
      </top>
      <bottom/>
      <diagonal/>
    </border>
    <border>
      <left style="thin">
        <color theme="0" tint="-0.499984740745262"/>
      </left>
      <right/>
      <top style="thick">
        <color theme="0" tint="-0.499984740745262"/>
      </top>
      <bottom style="thin">
        <color theme="0" tint="-0.499984740745262"/>
      </bottom>
      <diagonal/>
    </border>
    <border>
      <left/>
      <right/>
      <top style="thick">
        <color theme="0" tint="-0.499984740745262"/>
      </top>
      <bottom style="thin">
        <color theme="0" tint="-0.499984740745262"/>
      </bottom>
      <diagonal/>
    </border>
    <border>
      <left style="thin">
        <color theme="0" tint="-0.499984740745262"/>
      </left>
      <right/>
      <top/>
      <bottom style="thick">
        <color theme="0" tint="-0.499984740745262"/>
      </bottom>
      <diagonal/>
    </border>
    <border>
      <left/>
      <right style="thin">
        <color theme="0" tint="-0.499984740745262"/>
      </right>
      <top/>
      <bottom style="thick">
        <color theme="0" tint="-0.499984740745262"/>
      </bottom>
      <diagonal/>
    </border>
    <border>
      <left style="thin">
        <color theme="0" tint="-0.499984740745262"/>
      </left>
      <right/>
      <top style="thin">
        <color theme="0" tint="-0.499984740745262"/>
      </top>
      <bottom style="thick">
        <color theme="0" tint="-0.499984740745262"/>
      </bottom>
      <diagonal/>
    </border>
    <border>
      <left/>
      <right/>
      <top style="thin">
        <color theme="0" tint="-0.499984740745262"/>
      </top>
      <bottom style="thick">
        <color theme="0" tint="-0.499984740745262"/>
      </bottom>
      <diagonal/>
    </border>
    <border>
      <left/>
      <right style="thin">
        <color theme="0" tint="-0.499984740745262"/>
      </right>
      <top style="thin">
        <color theme="0" tint="-0.499984740745262"/>
      </top>
      <bottom style="thick">
        <color theme="0" tint="-0.499984740745262"/>
      </bottom>
      <diagonal/>
    </border>
    <border>
      <left style="thin">
        <color rgb="FF808080"/>
      </left>
      <right/>
      <top/>
      <bottom/>
      <diagonal/>
    </border>
    <border>
      <left style="medium">
        <color theme="0" tint="-0.499984740745262"/>
      </left>
      <right/>
      <top style="thin">
        <color theme="0" tint="-0.499984740745262"/>
      </top>
      <bottom style="medium">
        <color theme="0" tint="-0.499984740745262"/>
      </bottom>
      <diagonal/>
    </border>
    <border>
      <left/>
      <right style="medium">
        <color theme="0" tint="-0.499984740745262"/>
      </right>
      <top style="thin">
        <color theme="0" tint="-0.499984740745262"/>
      </top>
      <bottom style="medium">
        <color theme="0" tint="-0.499984740745262"/>
      </bottom>
      <diagonal/>
    </border>
    <border>
      <left style="thick">
        <color theme="0" tint="-0.499984740745262"/>
      </left>
      <right/>
      <top style="thick">
        <color theme="0" tint="-0.499984740745262"/>
      </top>
      <bottom/>
      <diagonal/>
    </border>
    <border>
      <left style="medium">
        <color theme="0" tint="-0.499984740745262"/>
      </left>
      <right/>
      <top style="thick">
        <color theme="0" tint="-0.499984740745262"/>
      </top>
      <bottom/>
      <diagonal/>
    </border>
    <border>
      <left/>
      <right/>
      <top style="thick">
        <color theme="0" tint="-0.499984740745262"/>
      </top>
      <bottom/>
      <diagonal/>
    </border>
    <border>
      <left/>
      <right style="thick">
        <color theme="0" tint="-0.499984740745262"/>
      </right>
      <top style="thick">
        <color theme="0" tint="-0.499984740745262"/>
      </top>
      <bottom/>
      <diagonal/>
    </border>
    <border>
      <left style="thick">
        <color theme="0" tint="-0.499984740745262"/>
      </left>
      <right/>
      <top/>
      <bottom/>
      <diagonal/>
    </border>
    <border>
      <left/>
      <right style="thick">
        <color theme="0" tint="-0.499984740745262"/>
      </right>
      <top/>
      <bottom/>
      <diagonal/>
    </border>
    <border>
      <left style="thick">
        <color theme="0" tint="-0.499984740745262"/>
      </left>
      <right/>
      <top/>
      <bottom style="thick">
        <color theme="0" tint="-0.499984740745262"/>
      </bottom>
      <diagonal/>
    </border>
    <border>
      <left/>
      <right/>
      <top/>
      <bottom style="thick">
        <color theme="0" tint="-0.499984740745262"/>
      </bottom>
      <diagonal/>
    </border>
    <border>
      <left/>
      <right style="thick">
        <color theme="0" tint="-0.499984740745262"/>
      </right>
      <top/>
      <bottom style="thick">
        <color theme="0" tint="-0.499984740745262"/>
      </bottom>
      <diagonal/>
    </border>
  </borders>
  <cellStyleXfs count="536">
    <xf numFmtId="0" fontId="0" fillId="0" borderId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18" fillId="0" borderId="0"/>
    <xf numFmtId="166" fontId="18" fillId="0" borderId="0" applyFont="0" applyFill="0" applyBorder="0" applyAlignment="0" applyProtection="0"/>
    <xf numFmtId="9" fontId="18" fillId="0" borderId="0" applyFont="0" applyFill="0" applyBorder="0" applyAlignment="0" applyProtection="0"/>
    <xf numFmtId="165" fontId="18" fillId="0" borderId="0" applyFont="0" applyFill="0" applyBorder="0" applyAlignment="0" applyProtection="0"/>
    <xf numFmtId="0" fontId="18" fillId="0" borderId="0"/>
    <xf numFmtId="5" fontId="18" fillId="0" borderId="0" applyFill="0" applyBorder="0" applyAlignment="0"/>
    <xf numFmtId="168" fontId="22" fillId="0" borderId="0" applyFill="0" applyBorder="0" applyAlignment="0"/>
    <xf numFmtId="169" fontId="22" fillId="0" borderId="0" applyFill="0" applyBorder="0" applyAlignment="0"/>
    <xf numFmtId="170" fontId="22" fillId="0" borderId="0" applyFill="0" applyBorder="0" applyAlignment="0"/>
    <xf numFmtId="171" fontId="22" fillId="0" borderId="0" applyFill="0" applyBorder="0" applyAlignment="0"/>
    <xf numFmtId="172" fontId="22" fillId="0" borderId="0" applyFill="0" applyBorder="0" applyAlignment="0"/>
    <xf numFmtId="173" fontId="22" fillId="0" borderId="0" applyFill="0" applyBorder="0" applyAlignment="0"/>
    <xf numFmtId="168" fontId="22" fillId="0" borderId="0" applyFill="0" applyBorder="0" applyAlignment="0"/>
    <xf numFmtId="174" fontId="23" fillId="0" borderId="0"/>
    <xf numFmtId="174" fontId="23" fillId="0" borderId="0"/>
    <xf numFmtId="174" fontId="23" fillId="0" borderId="0"/>
    <xf numFmtId="174" fontId="23" fillId="0" borderId="0"/>
    <xf numFmtId="174" fontId="23" fillId="0" borderId="0"/>
    <xf numFmtId="174" fontId="23" fillId="0" borderId="0"/>
    <xf numFmtId="174" fontId="23" fillId="0" borderId="0"/>
    <xf numFmtId="174" fontId="23" fillId="0" borderId="0"/>
    <xf numFmtId="172" fontId="18" fillId="0" borderId="0" applyFont="0" applyFill="0" applyBorder="0" applyAlignment="0" applyProtection="0"/>
    <xf numFmtId="168" fontId="18" fillId="0" borderId="0" applyFont="0" applyFill="0" applyBorder="0" applyAlignment="0" applyProtection="0"/>
    <xf numFmtId="14" fontId="22" fillId="0" borderId="0" applyFill="0" applyBorder="0" applyAlignment="0"/>
    <xf numFmtId="172" fontId="24" fillId="0" borderId="0" applyFill="0" applyBorder="0" applyAlignment="0"/>
    <xf numFmtId="168" fontId="24" fillId="0" borderId="0" applyFill="0" applyBorder="0" applyAlignment="0"/>
    <xf numFmtId="172" fontId="24" fillId="0" borderId="0" applyFill="0" applyBorder="0" applyAlignment="0"/>
    <xf numFmtId="173" fontId="24" fillId="0" borderId="0" applyFill="0" applyBorder="0" applyAlignment="0"/>
    <xf numFmtId="168" fontId="24" fillId="0" borderId="0" applyFill="0" applyBorder="0" applyAlignment="0"/>
    <xf numFmtId="0" fontId="21" fillId="0" borderId="10" applyNumberFormat="0" applyAlignment="0" applyProtection="0">
      <alignment horizontal="left" vertical="center"/>
    </xf>
    <xf numFmtId="0" fontId="21" fillId="0" borderId="14">
      <alignment horizontal="left" vertical="center"/>
    </xf>
    <xf numFmtId="0" fontId="25" fillId="0" borderId="0" applyNumberFormat="0" applyFill="0" applyBorder="0" applyAlignment="0" applyProtection="0">
      <alignment vertical="top"/>
      <protection locked="0"/>
    </xf>
    <xf numFmtId="0" fontId="25" fillId="0" borderId="0" applyNumberFormat="0" applyFill="0" applyBorder="0" applyAlignment="0" applyProtection="0">
      <alignment vertical="top"/>
      <protection locked="0"/>
    </xf>
    <xf numFmtId="0" fontId="25" fillId="0" borderId="0" applyNumberFormat="0" applyFill="0" applyBorder="0" applyAlignment="0" applyProtection="0">
      <alignment vertical="top"/>
      <protection locked="0"/>
    </xf>
    <xf numFmtId="0" fontId="26" fillId="0" borderId="0" applyNumberFormat="0" applyFill="0" applyBorder="0" applyAlignment="0" applyProtection="0">
      <alignment vertical="top"/>
      <protection locked="0"/>
    </xf>
    <xf numFmtId="172" fontId="27" fillId="0" borderId="0" applyFill="0" applyBorder="0" applyAlignment="0"/>
    <xf numFmtId="168" fontId="27" fillId="0" borderId="0" applyFill="0" applyBorder="0" applyAlignment="0"/>
    <xf numFmtId="172" fontId="27" fillId="0" borderId="0" applyFill="0" applyBorder="0" applyAlignment="0"/>
    <xf numFmtId="173" fontId="27" fillId="0" borderId="0" applyFill="0" applyBorder="0" applyAlignment="0"/>
    <xf numFmtId="168" fontId="27" fillId="0" borderId="0" applyFill="0" applyBorder="0" applyAlignment="0"/>
    <xf numFmtId="175" fontId="28" fillId="0" borderId="0"/>
    <xf numFmtId="0" fontId="29" fillId="0" borderId="0"/>
    <xf numFmtId="0" fontId="18" fillId="0" borderId="0"/>
    <xf numFmtId="0" fontId="30" fillId="0" borderId="0"/>
    <xf numFmtId="0" fontId="19" fillId="0" borderId="0"/>
    <xf numFmtId="0" fontId="18" fillId="0" borderId="0"/>
    <xf numFmtId="0" fontId="9" fillId="0" borderId="0"/>
    <xf numFmtId="0" fontId="18" fillId="0" borderId="0" applyNumberFormat="0" applyFont="0" applyFill="0" applyBorder="0" applyAlignment="0" applyProtection="0"/>
    <xf numFmtId="0" fontId="31" fillId="0" borderId="0"/>
    <xf numFmtId="0" fontId="18" fillId="0" borderId="0"/>
    <xf numFmtId="176" fontId="29" fillId="0" borderId="0"/>
    <xf numFmtId="171" fontId="18" fillId="0" borderId="0" applyFont="0" applyFill="0" applyBorder="0" applyAlignment="0" applyProtection="0"/>
    <xf numFmtId="177" fontId="18" fillId="0" borderId="0" applyFont="0" applyFill="0" applyBorder="0" applyAlignment="0" applyProtection="0"/>
    <xf numFmtId="9" fontId="18" fillId="0" borderId="0" applyFont="0" applyFill="0" applyBorder="0" applyAlignment="0" applyProtection="0"/>
    <xf numFmtId="9" fontId="18" fillId="0" borderId="0" applyFont="0" applyFill="0" applyBorder="0" applyAlignment="0" applyProtection="0"/>
    <xf numFmtId="9" fontId="18" fillId="0" borderId="0" applyFont="0" applyFill="0" applyBorder="0" applyAlignment="0" applyProtection="0"/>
    <xf numFmtId="172" fontId="32" fillId="0" borderId="0" applyFill="0" applyBorder="0" applyAlignment="0"/>
    <xf numFmtId="168" fontId="32" fillId="0" borderId="0" applyFill="0" applyBorder="0" applyAlignment="0"/>
    <xf numFmtId="172" fontId="32" fillId="0" borderId="0" applyFill="0" applyBorder="0" applyAlignment="0"/>
    <xf numFmtId="173" fontId="32" fillId="0" borderId="0" applyFill="0" applyBorder="0" applyAlignment="0"/>
    <xf numFmtId="168" fontId="32" fillId="0" borderId="0" applyFill="0" applyBorder="0" applyAlignment="0"/>
    <xf numFmtId="0" fontId="20" fillId="0" borderId="0" applyBorder="0"/>
    <xf numFmtId="0" fontId="22" fillId="0" borderId="0">
      <alignment vertical="top"/>
    </xf>
    <xf numFmtId="49" fontId="22" fillId="0" borderId="0" applyFill="0" applyBorder="0" applyAlignment="0"/>
    <xf numFmtId="178" fontId="22" fillId="0" borderId="0" applyFill="0" applyBorder="0" applyAlignment="0"/>
    <xf numFmtId="179" fontId="22" fillId="0" borderId="0" applyFill="0" applyBorder="0" applyAlignment="0"/>
    <xf numFmtId="41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0" fontId="33" fillId="0" borderId="0" applyNumberFormat="0" applyFill="0" applyBorder="0" applyAlignment="0" applyProtection="0">
      <alignment vertical="top"/>
      <protection locked="0"/>
    </xf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</cellStyleXfs>
  <cellXfs count="186">
    <xf numFmtId="0" fontId="0" fillId="0" borderId="0" xfId="0"/>
    <xf numFmtId="0" fontId="11" fillId="2" borderId="0" xfId="0" applyFont="1" applyFill="1" applyBorder="1" applyAlignment="1" applyProtection="1">
      <alignment vertical="center"/>
      <protection locked="0"/>
    </xf>
    <xf numFmtId="0" fontId="0" fillId="2" borderId="0" xfId="0" applyFill="1" applyBorder="1" applyProtection="1">
      <protection locked="0"/>
    </xf>
    <xf numFmtId="0" fontId="0" fillId="0" borderId="0" xfId="0" applyBorder="1" applyProtection="1">
      <protection locked="0"/>
    </xf>
    <xf numFmtId="0" fontId="0" fillId="2" borderId="0" xfId="0" applyFill="1" applyBorder="1" applyAlignment="1" applyProtection="1">
      <alignment horizontal="right"/>
      <protection locked="0"/>
    </xf>
    <xf numFmtId="0" fontId="6" fillId="0" borderId="0" xfId="0" applyFont="1" applyBorder="1" applyProtection="1">
      <protection locked="0"/>
    </xf>
    <xf numFmtId="0" fontId="0" fillId="0" borderId="0" xfId="0" applyBorder="1" applyAlignment="1" applyProtection="1">
      <alignment vertical="center"/>
      <protection locked="0"/>
    </xf>
    <xf numFmtId="0" fontId="6" fillId="2" borderId="0" xfId="0" applyFont="1" applyFill="1" applyBorder="1" applyProtection="1">
      <protection locked="0"/>
    </xf>
    <xf numFmtId="0" fontId="6" fillId="2" borderId="1" xfId="0" applyFont="1" applyFill="1" applyBorder="1" applyAlignment="1" applyProtection="1">
      <alignment horizontal="center"/>
      <protection locked="0"/>
    </xf>
    <xf numFmtId="0" fontId="6" fillId="0" borderId="0" xfId="0" applyFont="1" applyFill="1" applyBorder="1" applyProtection="1">
      <protection locked="0"/>
    </xf>
    <xf numFmtId="0" fontId="0" fillId="0" borderId="0" xfId="0" applyFill="1" applyBorder="1" applyProtection="1">
      <protection locked="0"/>
    </xf>
    <xf numFmtId="0" fontId="6" fillId="0" borderId="0" xfId="0" applyFont="1" applyFill="1" applyBorder="1" applyAlignment="1" applyProtection="1">
      <alignment vertical="center"/>
      <protection locked="0"/>
    </xf>
    <xf numFmtId="0" fontId="0" fillId="0" borderId="0" xfId="0" applyProtection="1">
      <protection locked="0"/>
    </xf>
    <xf numFmtId="0" fontId="6" fillId="0" borderId="0" xfId="0" applyFont="1" applyProtection="1">
      <protection locked="0"/>
    </xf>
    <xf numFmtId="0" fontId="7" fillId="3" borderId="0" xfId="0" applyFont="1" applyFill="1" applyBorder="1" applyAlignment="1" applyProtection="1">
      <alignment horizontal="center" vertical="center" wrapText="1"/>
      <protection locked="0"/>
    </xf>
    <xf numFmtId="167" fontId="7" fillId="3" borderId="0" xfId="0" applyNumberFormat="1" applyFont="1" applyFill="1" applyBorder="1" applyAlignment="1" applyProtection="1">
      <alignment horizontal="center" vertical="center" wrapText="1"/>
      <protection locked="0"/>
    </xf>
    <xf numFmtId="0" fontId="7" fillId="2" borderId="16" xfId="0" applyFont="1" applyFill="1" applyBorder="1" applyProtection="1">
      <protection locked="0"/>
    </xf>
    <xf numFmtId="0" fontId="7" fillId="2" borderId="18" xfId="0" applyFont="1" applyFill="1" applyBorder="1" applyProtection="1">
      <protection locked="0"/>
    </xf>
    <xf numFmtId="0" fontId="6" fillId="0" borderId="1" xfId="0" applyFont="1" applyBorder="1" applyProtection="1">
      <protection locked="0"/>
    </xf>
    <xf numFmtId="0" fontId="6" fillId="2" borderId="1" xfId="0" applyFont="1" applyFill="1" applyBorder="1" applyProtection="1">
      <protection locked="0"/>
    </xf>
    <xf numFmtId="164" fontId="6" fillId="2" borderId="1" xfId="0" applyNumberFormat="1" applyFont="1" applyFill="1" applyBorder="1" applyProtection="1">
      <protection locked="0"/>
    </xf>
    <xf numFmtId="0" fontId="6" fillId="0" borderId="0" xfId="0" applyFont="1" applyFill="1" applyProtection="1">
      <protection locked="0"/>
    </xf>
    <xf numFmtId="0" fontId="7" fillId="2" borderId="13" xfId="0" applyFont="1" applyFill="1" applyBorder="1" applyProtection="1">
      <protection locked="0"/>
    </xf>
    <xf numFmtId="0" fontId="7" fillId="2" borderId="15" xfId="0" applyFont="1" applyFill="1" applyBorder="1" applyProtection="1">
      <protection locked="0"/>
    </xf>
    <xf numFmtId="0" fontId="0" fillId="0" borderId="0" xfId="0" applyFont="1" applyFill="1" applyBorder="1" applyAlignment="1" applyProtection="1">
      <alignment horizontal="left"/>
      <protection locked="0"/>
    </xf>
    <xf numFmtId="167" fontId="1" fillId="0" borderId="0" xfId="0" applyNumberFormat="1" applyFont="1" applyFill="1" applyBorder="1" applyAlignment="1" applyProtection="1">
      <alignment horizontal="left"/>
      <protection locked="0"/>
    </xf>
    <xf numFmtId="0" fontId="7" fillId="2" borderId="11" xfId="0" applyFont="1" applyFill="1" applyBorder="1" applyProtection="1">
      <protection locked="0"/>
    </xf>
    <xf numFmtId="0" fontId="7" fillId="2" borderId="12" xfId="0" applyFont="1" applyFill="1" applyBorder="1" applyProtection="1">
      <protection locked="0"/>
    </xf>
    <xf numFmtId="0" fontId="6" fillId="0" borderId="1" xfId="0" applyFont="1" applyFill="1" applyBorder="1" applyProtection="1">
      <protection locked="0"/>
    </xf>
    <xf numFmtId="0" fontId="0" fillId="0" borderId="1" xfId="0" applyBorder="1" applyProtection="1">
      <protection locked="0"/>
    </xf>
    <xf numFmtId="0" fontId="0" fillId="0" borderId="1" xfId="0" applyFill="1" applyBorder="1" applyProtection="1">
      <protection locked="0"/>
    </xf>
    <xf numFmtId="0" fontId="6" fillId="0" borderId="1" xfId="0" applyFont="1" applyBorder="1" applyAlignment="1" applyProtection="1">
      <alignment vertical="center"/>
      <protection locked="0"/>
    </xf>
    <xf numFmtId="2" fontId="6" fillId="0" borderId="1" xfId="0" applyNumberFormat="1" applyFont="1" applyFill="1" applyBorder="1" applyAlignment="1" applyProtection="1">
      <alignment vertical="center"/>
      <protection locked="0"/>
    </xf>
    <xf numFmtId="0" fontId="6" fillId="0" borderId="0" xfId="0" applyFont="1" applyAlignment="1" applyProtection="1">
      <alignment vertical="center"/>
      <protection locked="0"/>
    </xf>
    <xf numFmtId="0" fontId="1" fillId="2" borderId="0" xfId="0" applyFont="1" applyFill="1" applyBorder="1" applyProtection="1">
      <protection locked="0"/>
    </xf>
    <xf numFmtId="167" fontId="0" fillId="2" borderId="0" xfId="0" applyNumberFormat="1" applyFill="1" applyBorder="1" applyProtection="1">
      <protection locked="0"/>
    </xf>
    <xf numFmtId="0" fontId="6" fillId="0" borderId="2" xfId="0" applyFont="1" applyBorder="1" applyProtection="1">
      <protection locked="0"/>
    </xf>
    <xf numFmtId="0" fontId="6" fillId="2" borderId="2" xfId="0" applyFont="1" applyFill="1" applyBorder="1" applyAlignment="1" applyProtection="1">
      <alignment horizontal="center"/>
      <protection locked="0"/>
    </xf>
    <xf numFmtId="164" fontId="6" fillId="2" borderId="2" xfId="0" applyNumberFormat="1" applyFont="1" applyFill="1" applyBorder="1" applyProtection="1">
      <protection locked="0"/>
    </xf>
    <xf numFmtId="0" fontId="6" fillId="0" borderId="7" xfId="0" applyFont="1" applyBorder="1" applyProtection="1">
      <protection locked="0"/>
    </xf>
    <xf numFmtId="0" fontId="6" fillId="2" borderId="7" xfId="0" applyFont="1" applyFill="1" applyBorder="1" applyAlignment="1" applyProtection="1">
      <alignment horizontal="center"/>
      <protection locked="0"/>
    </xf>
    <xf numFmtId="164" fontId="6" fillId="2" borderId="7" xfId="0" applyNumberFormat="1" applyFont="1" applyFill="1" applyBorder="1" applyProtection="1">
      <protection locked="0"/>
    </xf>
    <xf numFmtId="0" fontId="6" fillId="0" borderId="8" xfId="0" applyFont="1" applyBorder="1" applyProtection="1">
      <protection locked="0"/>
    </xf>
    <xf numFmtId="0" fontId="6" fillId="0" borderId="8" xfId="0" applyFont="1" applyFill="1" applyBorder="1" applyProtection="1">
      <protection locked="0"/>
    </xf>
    <xf numFmtId="0" fontId="6" fillId="2" borderId="8" xfId="0" applyFont="1" applyFill="1" applyBorder="1" applyAlignment="1" applyProtection="1">
      <alignment horizontal="center"/>
      <protection locked="0"/>
    </xf>
    <xf numFmtId="164" fontId="6" fillId="2" borderId="8" xfId="0" applyNumberFormat="1" applyFont="1" applyFill="1" applyBorder="1" applyProtection="1">
      <protection locked="0"/>
    </xf>
    <xf numFmtId="0" fontId="6" fillId="0" borderId="9" xfId="0" applyFont="1" applyBorder="1" applyProtection="1">
      <protection locked="0"/>
    </xf>
    <xf numFmtId="0" fontId="6" fillId="2" borderId="4" xfId="0" applyFont="1" applyFill="1" applyBorder="1" applyAlignment="1" applyProtection="1">
      <alignment horizontal="center"/>
      <protection locked="0"/>
    </xf>
    <xf numFmtId="0" fontId="9" fillId="2" borderId="1" xfId="0" applyFont="1" applyFill="1" applyBorder="1" applyAlignment="1" applyProtection="1">
      <alignment horizontal="center"/>
      <protection locked="0"/>
    </xf>
    <xf numFmtId="0" fontId="7" fillId="2" borderId="0" xfId="0" applyFont="1" applyFill="1" applyBorder="1" applyProtection="1">
      <protection locked="0"/>
    </xf>
    <xf numFmtId="0" fontId="6" fillId="2" borderId="0" xfId="0" applyFont="1" applyFill="1" applyProtection="1">
      <protection locked="0"/>
    </xf>
    <xf numFmtId="164" fontId="17" fillId="2" borderId="0" xfId="0" applyNumberFormat="1" applyFont="1" applyFill="1" applyBorder="1" applyAlignment="1" applyProtection="1">
      <alignment horizontal="right" vertical="center"/>
      <protection locked="0"/>
    </xf>
    <xf numFmtId="0" fontId="5" fillId="2" borderId="0" xfId="0" applyFont="1" applyFill="1" applyBorder="1" applyAlignment="1" applyProtection="1">
      <protection locked="0"/>
    </xf>
    <xf numFmtId="0" fontId="0" fillId="0" borderId="13" xfId="0" applyBorder="1" applyProtection="1">
      <protection locked="0"/>
    </xf>
    <xf numFmtId="167" fontId="6" fillId="2" borderId="1" xfId="0" applyNumberFormat="1" applyFont="1" applyFill="1" applyBorder="1" applyProtection="1"/>
    <xf numFmtId="167" fontId="6" fillId="2" borderId="2" xfId="0" applyNumberFormat="1" applyFont="1" applyFill="1" applyBorder="1" applyProtection="1"/>
    <xf numFmtId="167" fontId="6" fillId="2" borderId="7" xfId="0" applyNumberFormat="1" applyFont="1" applyFill="1" applyBorder="1" applyProtection="1"/>
    <xf numFmtId="167" fontId="6" fillId="2" borderId="8" xfId="0" applyNumberFormat="1" applyFont="1" applyFill="1" applyBorder="1" applyProtection="1"/>
    <xf numFmtId="0" fontId="6" fillId="2" borderId="3" xfId="0" applyFont="1" applyFill="1" applyBorder="1" applyAlignment="1" applyProtection="1">
      <alignment horizontal="center"/>
    </xf>
    <xf numFmtId="0" fontId="34" fillId="2" borderId="5" xfId="0" applyFont="1" applyFill="1" applyBorder="1" applyAlignment="1" applyProtection="1">
      <alignment horizontal="center"/>
      <protection locked="0"/>
    </xf>
    <xf numFmtId="180" fontId="34" fillId="2" borderId="5" xfId="0" applyNumberFormat="1" applyFont="1" applyFill="1" applyBorder="1" applyAlignment="1" applyProtection="1">
      <alignment horizontal="left"/>
      <protection locked="0"/>
    </xf>
    <xf numFmtId="0" fontId="6" fillId="2" borderId="9" xfId="0" applyFont="1" applyFill="1" applyBorder="1" applyProtection="1">
      <protection locked="0"/>
    </xf>
    <xf numFmtId="0" fontId="6" fillId="2" borderId="4" xfId="0" applyFont="1" applyFill="1" applyBorder="1" applyProtection="1">
      <protection locked="0"/>
    </xf>
    <xf numFmtId="0" fontId="6" fillId="2" borderId="3" xfId="0" applyFont="1" applyFill="1" applyBorder="1" applyProtection="1">
      <protection locked="0"/>
    </xf>
    <xf numFmtId="0" fontId="7" fillId="2" borderId="13" xfId="0" applyFont="1" applyFill="1" applyBorder="1" applyProtection="1">
      <protection locked="0"/>
    </xf>
    <xf numFmtId="0" fontId="7" fillId="2" borderId="15" xfId="0" applyFont="1" applyFill="1" applyBorder="1" applyProtection="1">
      <protection locked="0"/>
    </xf>
    <xf numFmtId="0" fontId="6" fillId="2" borderId="17" xfId="0" applyFont="1" applyFill="1" applyBorder="1" applyProtection="1">
      <protection locked="0"/>
    </xf>
    <xf numFmtId="0" fontId="14" fillId="2" borderId="13" xfId="0" applyFont="1" applyFill="1" applyBorder="1" applyAlignment="1" applyProtection="1">
      <alignment horizontal="left" vertical="top" wrapText="1"/>
      <protection locked="0"/>
    </xf>
    <xf numFmtId="0" fontId="14" fillId="2" borderId="15" xfId="0" applyFont="1" applyFill="1" applyBorder="1" applyAlignment="1" applyProtection="1">
      <alignment horizontal="left" vertical="top" wrapText="1"/>
      <protection locked="0"/>
    </xf>
    <xf numFmtId="0" fontId="6" fillId="0" borderId="17" xfId="0" applyFont="1" applyBorder="1" applyProtection="1">
      <protection locked="0"/>
    </xf>
    <xf numFmtId="164" fontId="6" fillId="2" borderId="1" xfId="0" applyNumberFormat="1" applyFont="1" applyFill="1" applyBorder="1" applyProtection="1"/>
    <xf numFmtId="3" fontId="34" fillId="2" borderId="5" xfId="0" applyNumberFormat="1" applyFont="1" applyFill="1" applyBorder="1" applyAlignment="1" applyProtection="1">
      <alignment horizontal="center"/>
      <protection locked="0"/>
    </xf>
    <xf numFmtId="0" fontId="12" fillId="0" borderId="0" xfId="0" applyFont="1" applyBorder="1" applyAlignment="1" applyProtection="1">
      <alignment horizontal="center" vertical="center" wrapText="1"/>
      <protection locked="0"/>
    </xf>
    <xf numFmtId="0" fontId="0" fillId="0" borderId="0" xfId="0" applyFill="1" applyProtection="1">
      <protection locked="0"/>
    </xf>
    <xf numFmtId="0" fontId="0" fillId="0" borderId="0" xfId="0" applyFill="1" applyBorder="1" applyAlignment="1" applyProtection="1">
      <alignment vertical="center"/>
      <protection locked="0"/>
    </xf>
    <xf numFmtId="0" fontId="12" fillId="0" borderId="0" xfId="0" applyFont="1" applyFill="1" applyBorder="1" applyAlignment="1" applyProtection="1">
      <alignment horizontal="left" vertical="center" wrapText="1"/>
      <protection locked="0"/>
    </xf>
    <xf numFmtId="0" fontId="7" fillId="0" borderId="0" xfId="0" applyFont="1" applyFill="1" applyProtection="1">
      <protection locked="0"/>
    </xf>
    <xf numFmtId="0" fontId="12" fillId="0" borderId="0" xfId="0" applyFont="1" applyFill="1" applyBorder="1" applyAlignment="1" applyProtection="1">
      <alignment horizontal="center" vertical="center" wrapText="1"/>
      <protection locked="0"/>
    </xf>
    <xf numFmtId="0" fontId="0" fillId="2" borderId="17" xfId="0" applyFill="1" applyBorder="1" applyAlignment="1" applyProtection="1">
      <alignment vertical="center"/>
      <protection locked="0"/>
    </xf>
    <xf numFmtId="0" fontId="0" fillId="0" borderId="0" xfId="0" applyBorder="1" applyAlignment="1" applyProtection="1">
      <alignment vertical="top"/>
      <protection locked="0"/>
    </xf>
    <xf numFmtId="0" fontId="0" fillId="0" borderId="0" xfId="0" applyFill="1" applyBorder="1" applyAlignment="1" applyProtection="1">
      <alignment vertical="top"/>
      <protection locked="0"/>
    </xf>
    <xf numFmtId="0" fontId="0" fillId="2" borderId="16" xfId="0" applyFill="1" applyBorder="1" applyAlignment="1" applyProtection="1">
      <alignment vertical="top"/>
      <protection locked="0"/>
    </xf>
    <xf numFmtId="0" fontId="0" fillId="2" borderId="17" xfId="0" applyFill="1" applyBorder="1" applyAlignment="1" applyProtection="1">
      <alignment vertical="top"/>
      <protection locked="0"/>
    </xf>
    <xf numFmtId="0" fontId="0" fillId="2" borderId="18" xfId="0" applyFill="1" applyBorder="1" applyAlignment="1" applyProtection="1">
      <alignment vertical="top"/>
      <protection locked="0"/>
    </xf>
    <xf numFmtId="0" fontId="0" fillId="2" borderId="11" xfId="0" applyFill="1" applyBorder="1" applyAlignment="1" applyProtection="1">
      <alignment vertical="top"/>
      <protection locked="0"/>
    </xf>
    <xf numFmtId="0" fontId="0" fillId="2" borderId="5" xfId="0" applyFill="1" applyBorder="1" applyAlignment="1" applyProtection="1">
      <alignment vertical="top"/>
      <protection locked="0"/>
    </xf>
    <xf numFmtId="0" fontId="0" fillId="2" borderId="12" xfId="0" applyFill="1" applyBorder="1" applyAlignment="1" applyProtection="1">
      <alignment vertical="top"/>
      <protection locked="0"/>
    </xf>
    <xf numFmtId="0" fontId="6" fillId="2" borderId="0" xfId="0" applyFont="1" applyFill="1" applyBorder="1" applyAlignment="1" applyProtection="1">
      <alignment horizontal="right"/>
    </xf>
    <xf numFmtId="0" fontId="13" fillId="0" borderId="0" xfId="0" applyFont="1" applyFill="1" applyBorder="1" applyAlignment="1" applyProtection="1">
      <alignment horizontal="center" vertical="center"/>
      <protection locked="0"/>
    </xf>
    <xf numFmtId="0" fontId="5" fillId="5" borderId="0" xfId="0" applyFont="1" applyFill="1" applyBorder="1" applyAlignment="1" applyProtection="1">
      <alignment vertical="center"/>
      <protection locked="0"/>
    </xf>
    <xf numFmtId="0" fontId="0" fillId="5" borderId="0" xfId="0" applyFill="1" applyProtection="1">
      <protection locked="0"/>
    </xf>
    <xf numFmtId="0" fontId="1" fillId="3" borderId="0" xfId="0" applyFont="1" applyFill="1" applyBorder="1" applyAlignment="1" applyProtection="1">
      <alignment horizontal="left" vertical="center"/>
      <protection locked="0"/>
    </xf>
    <xf numFmtId="0" fontId="0" fillId="3" borderId="0" xfId="0" applyFont="1" applyFill="1" applyBorder="1" applyAlignment="1" applyProtection="1">
      <alignment vertical="center"/>
      <protection locked="0"/>
    </xf>
    <xf numFmtId="167" fontId="0" fillId="3" borderId="0" xfId="0" applyNumberFormat="1" applyFont="1" applyFill="1" applyBorder="1" applyAlignment="1" applyProtection="1">
      <alignment vertical="center"/>
    </xf>
    <xf numFmtId="0" fontId="1" fillId="3" borderId="31" xfId="0" applyFont="1" applyFill="1" applyBorder="1" applyAlignment="1" applyProtection="1">
      <alignment horizontal="left" vertical="center"/>
      <protection locked="0"/>
    </xf>
    <xf numFmtId="0" fontId="1" fillId="3" borderId="32" xfId="0" applyFont="1" applyFill="1" applyBorder="1" applyAlignment="1" applyProtection="1">
      <alignment horizontal="left" vertical="center"/>
      <protection locked="0"/>
    </xf>
    <xf numFmtId="0" fontId="0" fillId="3" borderId="33" xfId="0" applyFont="1" applyFill="1" applyBorder="1" applyAlignment="1" applyProtection="1">
      <alignment vertical="center"/>
      <protection locked="0"/>
    </xf>
    <xf numFmtId="167" fontId="0" fillId="3" borderId="33" xfId="0" applyNumberFormat="1" applyFont="1" applyFill="1" applyBorder="1" applyAlignment="1" applyProtection="1">
      <alignment vertical="center"/>
    </xf>
    <xf numFmtId="0" fontId="1" fillId="3" borderId="35" xfId="0" applyFont="1" applyFill="1" applyBorder="1" applyAlignment="1" applyProtection="1">
      <alignment horizontal="left" vertical="center"/>
      <protection locked="0"/>
    </xf>
    <xf numFmtId="167" fontId="17" fillId="3" borderId="38" xfId="0" applyNumberFormat="1" applyFont="1" applyFill="1" applyBorder="1" applyAlignment="1" applyProtection="1">
      <alignment vertical="center"/>
    </xf>
    <xf numFmtId="0" fontId="34" fillId="3" borderId="38" xfId="0" applyFont="1" applyFill="1" applyBorder="1" applyAlignment="1" applyProtection="1">
      <alignment vertical="center"/>
      <protection locked="0"/>
    </xf>
    <xf numFmtId="0" fontId="7" fillId="2" borderId="11" xfId="0" applyFont="1" applyFill="1" applyBorder="1" applyProtection="1">
      <protection locked="0"/>
    </xf>
    <xf numFmtId="0" fontId="7" fillId="2" borderId="12" xfId="0" applyFont="1" applyFill="1" applyBorder="1" applyProtection="1">
      <protection locked="0"/>
    </xf>
    <xf numFmtId="0" fontId="6" fillId="2" borderId="17" xfId="0" applyFont="1" applyFill="1" applyBorder="1" applyProtection="1">
      <protection locked="0"/>
    </xf>
    <xf numFmtId="0" fontId="6" fillId="2" borderId="17" xfId="0" applyFont="1" applyFill="1" applyBorder="1" applyAlignment="1" applyProtection="1">
      <alignment horizontal="center"/>
      <protection locked="0"/>
    </xf>
    <xf numFmtId="164" fontId="6" fillId="2" borderId="17" xfId="0" applyNumberFormat="1" applyFont="1" applyFill="1" applyBorder="1" applyProtection="1">
      <protection locked="0"/>
    </xf>
    <xf numFmtId="167" fontId="6" fillId="2" borderId="17" xfId="0" applyNumberFormat="1" applyFont="1" applyFill="1" applyBorder="1" applyProtection="1"/>
    <xf numFmtId="0" fontId="6" fillId="2" borderId="0" xfId="0" applyFont="1" applyFill="1" applyBorder="1" applyAlignment="1" applyProtection="1">
      <alignment horizontal="center"/>
      <protection locked="0"/>
    </xf>
    <xf numFmtId="164" fontId="6" fillId="2" borderId="0" xfId="0" applyNumberFormat="1" applyFont="1" applyFill="1" applyBorder="1" applyProtection="1">
      <protection locked="0"/>
    </xf>
    <xf numFmtId="167" fontId="6" fillId="2" borderId="0" xfId="0" applyNumberFormat="1" applyFont="1" applyFill="1" applyBorder="1" applyProtection="1"/>
    <xf numFmtId="167" fontId="17" fillId="3" borderId="38" xfId="0" applyNumberFormat="1" applyFont="1" applyFill="1" applyBorder="1" applyAlignment="1" applyProtection="1">
      <alignment horizontal="right" vertical="center"/>
      <protection locked="0"/>
    </xf>
    <xf numFmtId="167" fontId="17" fillId="3" borderId="39" xfId="0" applyNumberFormat="1" applyFont="1" applyFill="1" applyBorder="1" applyAlignment="1" applyProtection="1">
      <alignment horizontal="right" vertical="center"/>
      <protection locked="0"/>
    </xf>
    <xf numFmtId="0" fontId="15" fillId="4" borderId="13" xfId="0" applyFont="1" applyFill="1" applyBorder="1" applyAlignment="1" applyProtection="1">
      <alignment horizontal="left" vertical="top" wrapText="1"/>
      <protection locked="0"/>
    </xf>
    <xf numFmtId="0" fontId="15" fillId="4" borderId="15" xfId="0" applyFont="1" applyFill="1" applyBorder="1" applyAlignment="1" applyProtection="1">
      <alignment horizontal="left" vertical="top" wrapText="1"/>
      <protection locked="0"/>
    </xf>
    <xf numFmtId="0" fontId="5" fillId="2" borderId="0" xfId="0" applyFont="1" applyFill="1" applyBorder="1" applyAlignment="1" applyProtection="1">
      <alignment horizontal="center"/>
      <protection locked="0"/>
    </xf>
    <xf numFmtId="167" fontId="1" fillId="3" borderId="33" xfId="0" applyNumberFormat="1" applyFont="1" applyFill="1" applyBorder="1" applyAlignment="1" applyProtection="1">
      <alignment vertical="center"/>
    </xf>
    <xf numFmtId="167" fontId="1" fillId="3" borderId="0" xfId="0" applyNumberFormat="1" applyFont="1" applyFill="1" applyBorder="1" applyAlignment="1" applyProtection="1">
      <alignment vertical="center"/>
    </xf>
    <xf numFmtId="0" fontId="7" fillId="2" borderId="1" xfId="0" applyFont="1" applyFill="1" applyBorder="1" applyProtection="1">
      <protection locked="0"/>
    </xf>
    <xf numFmtId="0" fontId="6" fillId="2" borderId="1" xfId="0" applyFont="1" applyFill="1" applyBorder="1" applyProtection="1">
      <protection locked="0"/>
    </xf>
    <xf numFmtId="167" fontId="17" fillId="3" borderId="37" xfId="0" applyNumberFormat="1" applyFont="1" applyFill="1" applyBorder="1" applyAlignment="1" applyProtection="1">
      <alignment horizontal="right" vertical="center"/>
    </xf>
    <xf numFmtId="167" fontId="17" fillId="3" borderId="38" xfId="0" applyNumberFormat="1" applyFont="1" applyFill="1" applyBorder="1" applyAlignment="1" applyProtection="1">
      <alignment horizontal="right" vertical="center"/>
    </xf>
    <xf numFmtId="0" fontId="17" fillId="3" borderId="38" xfId="0" applyFont="1" applyFill="1" applyBorder="1" applyAlignment="1" applyProtection="1">
      <alignment horizontal="right" vertical="center"/>
      <protection locked="0"/>
    </xf>
    <xf numFmtId="0" fontId="6" fillId="2" borderId="9" xfId="0" applyFont="1" applyFill="1" applyBorder="1" applyProtection="1">
      <protection locked="0"/>
    </xf>
    <xf numFmtId="0" fontId="6" fillId="2" borderId="4" xfId="0" applyFont="1" applyFill="1" applyBorder="1" applyProtection="1">
      <protection locked="0"/>
    </xf>
    <xf numFmtId="0" fontId="6" fillId="2" borderId="3" xfId="0" applyFont="1" applyFill="1" applyBorder="1" applyProtection="1">
      <protection locked="0"/>
    </xf>
    <xf numFmtId="167" fontId="0" fillId="3" borderId="0" xfId="0" applyNumberFormat="1" applyFont="1" applyFill="1" applyBorder="1" applyAlignment="1" applyProtection="1">
      <alignment horizontal="right" vertical="center"/>
    </xf>
    <xf numFmtId="167" fontId="0" fillId="3" borderId="36" xfId="0" applyNumberFormat="1" applyFont="1" applyFill="1" applyBorder="1" applyAlignment="1" applyProtection="1">
      <alignment horizontal="right" vertical="center"/>
    </xf>
    <xf numFmtId="167" fontId="0" fillId="3" borderId="33" xfId="0" applyNumberFormat="1" applyFont="1" applyFill="1" applyBorder="1" applyAlignment="1" applyProtection="1">
      <alignment horizontal="right" vertical="center"/>
    </xf>
    <xf numFmtId="167" fontId="0" fillId="3" borderId="34" xfId="0" applyNumberFormat="1" applyFont="1" applyFill="1" applyBorder="1" applyAlignment="1" applyProtection="1">
      <alignment horizontal="right" vertical="center"/>
    </xf>
    <xf numFmtId="167" fontId="17" fillId="3" borderId="29" xfId="0" applyNumberFormat="1" applyFont="1" applyFill="1" applyBorder="1" applyAlignment="1" applyProtection="1">
      <alignment horizontal="right" vertical="center" indent="1"/>
    </xf>
    <xf numFmtId="167" fontId="17" fillId="3" borderId="30" xfId="0" applyNumberFormat="1" applyFont="1" applyFill="1" applyBorder="1" applyAlignment="1" applyProtection="1">
      <alignment horizontal="right" vertical="center" indent="1"/>
    </xf>
    <xf numFmtId="0" fontId="7" fillId="2" borderId="13" xfId="0" applyFont="1" applyFill="1" applyBorder="1" applyProtection="1">
      <protection locked="0"/>
    </xf>
    <xf numFmtId="0" fontId="7" fillId="2" borderId="15" xfId="0" applyFont="1" applyFill="1" applyBorder="1" applyProtection="1">
      <protection locked="0"/>
    </xf>
    <xf numFmtId="0" fontId="7" fillId="2" borderId="11" xfId="0" applyFont="1" applyFill="1" applyBorder="1" applyProtection="1">
      <protection locked="0"/>
    </xf>
    <xf numFmtId="0" fontId="7" fillId="2" borderId="12" xfId="0" applyFont="1" applyFill="1" applyBorder="1" applyProtection="1">
      <protection locked="0"/>
    </xf>
    <xf numFmtId="0" fontId="7" fillId="2" borderId="16" xfId="0" applyFont="1" applyFill="1" applyBorder="1" applyProtection="1">
      <protection locked="0"/>
    </xf>
    <xf numFmtId="0" fontId="7" fillId="2" borderId="18" xfId="0" applyFont="1" applyFill="1" applyBorder="1" applyProtection="1">
      <protection locked="0"/>
    </xf>
    <xf numFmtId="0" fontId="7" fillId="3" borderId="0" xfId="0" applyFont="1" applyFill="1" applyBorder="1" applyAlignment="1" applyProtection="1">
      <alignment horizontal="center" vertical="center" wrapText="1"/>
      <protection locked="0"/>
    </xf>
    <xf numFmtId="0" fontId="38" fillId="4" borderId="13" xfId="0" applyFont="1" applyFill="1" applyBorder="1" applyAlignment="1" applyProtection="1">
      <alignment horizontal="left" vertical="top" wrapText="1"/>
      <protection locked="0"/>
    </xf>
    <xf numFmtId="0" fontId="38" fillId="4" borderId="15" xfId="0" applyFont="1" applyFill="1" applyBorder="1" applyAlignment="1" applyProtection="1">
      <alignment horizontal="left" vertical="top" wrapText="1"/>
      <protection locked="0"/>
    </xf>
    <xf numFmtId="0" fontId="38" fillId="4" borderId="11" xfId="0" applyFont="1" applyFill="1" applyBorder="1" applyAlignment="1" applyProtection="1">
      <alignment horizontal="left" vertical="top" wrapText="1"/>
      <protection locked="0"/>
    </xf>
    <xf numFmtId="0" fontId="38" fillId="4" borderId="12" xfId="0" applyFont="1" applyFill="1" applyBorder="1" applyAlignment="1" applyProtection="1">
      <alignment horizontal="left" vertical="top" wrapText="1"/>
      <protection locked="0"/>
    </xf>
    <xf numFmtId="0" fontId="10" fillId="2" borderId="13" xfId="0" applyFont="1" applyFill="1" applyBorder="1" applyProtection="1">
      <protection locked="0"/>
    </xf>
    <xf numFmtId="0" fontId="10" fillId="2" borderId="15" xfId="0" applyFont="1" applyFill="1" applyBorder="1" applyProtection="1">
      <protection locked="0"/>
    </xf>
    <xf numFmtId="0" fontId="1" fillId="2" borderId="4" xfId="0" applyFont="1" applyFill="1" applyBorder="1" applyProtection="1">
      <protection locked="0"/>
    </xf>
    <xf numFmtId="0" fontId="1" fillId="2" borderId="5" xfId="0" applyFont="1" applyFill="1" applyBorder="1" applyProtection="1">
      <protection locked="0"/>
    </xf>
    <xf numFmtId="0" fontId="1" fillId="2" borderId="0" xfId="0" applyFont="1" applyFill="1" applyBorder="1" applyAlignment="1" applyProtection="1">
      <alignment horizontal="center"/>
      <protection locked="0"/>
    </xf>
    <xf numFmtId="0" fontId="9" fillId="2" borderId="9" xfId="0" applyFont="1" applyFill="1" applyBorder="1" applyProtection="1">
      <protection locked="0"/>
    </xf>
    <xf numFmtId="0" fontId="9" fillId="2" borderId="4" xfId="0" applyFont="1" applyFill="1" applyBorder="1" applyProtection="1">
      <protection locked="0"/>
    </xf>
    <xf numFmtId="0" fontId="9" fillId="2" borderId="3" xfId="0" applyFont="1" applyFill="1" applyBorder="1" applyProtection="1">
      <protection locked="0"/>
    </xf>
    <xf numFmtId="0" fontId="15" fillId="4" borderId="28" xfId="0" applyFont="1" applyFill="1" applyBorder="1" applyAlignment="1" applyProtection="1">
      <alignment horizontal="left" vertical="top" wrapText="1"/>
      <protection locked="0"/>
    </xf>
    <xf numFmtId="0" fontId="8" fillId="2" borderId="9" xfId="0" applyFont="1" applyFill="1" applyBorder="1" applyProtection="1">
      <protection locked="0"/>
    </xf>
    <xf numFmtId="0" fontId="8" fillId="2" borderId="4" xfId="0" applyFont="1" applyFill="1" applyBorder="1" applyProtection="1">
      <protection locked="0"/>
    </xf>
    <xf numFmtId="0" fontId="8" fillId="2" borderId="3" xfId="0" applyFont="1" applyFill="1" applyBorder="1" applyProtection="1">
      <protection locked="0"/>
    </xf>
    <xf numFmtId="0" fontId="7" fillId="3" borderId="5" xfId="0" applyFont="1" applyFill="1" applyBorder="1" applyAlignment="1" applyProtection="1">
      <alignment horizontal="center" vertical="center" wrapText="1"/>
      <protection locked="0"/>
    </xf>
    <xf numFmtId="0" fontId="7" fillId="2" borderId="19" xfId="0" applyFont="1" applyFill="1" applyBorder="1" applyAlignment="1" applyProtection="1">
      <alignment vertical="center"/>
      <protection locked="0"/>
    </xf>
    <xf numFmtId="0" fontId="7" fillId="2" borderId="20" xfId="0" applyFont="1" applyFill="1" applyBorder="1" applyAlignment="1" applyProtection="1">
      <alignment vertical="center"/>
      <protection locked="0"/>
    </xf>
    <xf numFmtId="0" fontId="7" fillId="2" borderId="23" xfId="0" applyFont="1" applyFill="1" applyBorder="1" applyProtection="1">
      <protection locked="0"/>
    </xf>
    <xf numFmtId="0" fontId="7" fillId="2" borderId="24" xfId="0" applyFont="1" applyFill="1" applyBorder="1" applyProtection="1">
      <protection locked="0"/>
    </xf>
    <xf numFmtId="0" fontId="14" fillId="2" borderId="13" xfId="0" applyFont="1" applyFill="1" applyBorder="1" applyAlignment="1" applyProtection="1">
      <alignment horizontal="left" vertical="top" wrapText="1"/>
      <protection locked="0"/>
    </xf>
    <xf numFmtId="0" fontId="14" fillId="2" borderId="15" xfId="0" applyFont="1" applyFill="1" applyBorder="1" applyAlignment="1" applyProtection="1">
      <alignment horizontal="left" vertical="top" wrapText="1"/>
      <protection locked="0"/>
    </xf>
    <xf numFmtId="0" fontId="14" fillId="2" borderId="11" xfId="0" applyFont="1" applyFill="1" applyBorder="1" applyAlignment="1" applyProtection="1">
      <alignment horizontal="left" vertical="top" wrapText="1"/>
      <protection locked="0"/>
    </xf>
    <xf numFmtId="0" fontId="14" fillId="2" borderId="12" xfId="0" applyFont="1" applyFill="1" applyBorder="1" applyAlignment="1" applyProtection="1">
      <alignment horizontal="left" vertical="top" wrapText="1"/>
      <protection locked="0"/>
    </xf>
    <xf numFmtId="0" fontId="16" fillId="2" borderId="13" xfId="0" applyFont="1" applyFill="1" applyBorder="1" applyAlignment="1" applyProtection="1">
      <alignment horizontal="left" vertical="top" wrapText="1"/>
      <protection locked="0"/>
    </xf>
    <xf numFmtId="0" fontId="16" fillId="2" borderId="15" xfId="0" applyFont="1" applyFill="1" applyBorder="1" applyAlignment="1" applyProtection="1">
      <alignment horizontal="left" vertical="top" wrapText="1"/>
      <protection locked="0"/>
    </xf>
    <xf numFmtId="0" fontId="16" fillId="2" borderId="11" xfId="0" applyFont="1" applyFill="1" applyBorder="1" applyAlignment="1" applyProtection="1">
      <alignment horizontal="left" vertical="top" wrapText="1"/>
      <protection locked="0"/>
    </xf>
    <xf numFmtId="0" fontId="16" fillId="2" borderId="12" xfId="0" applyFont="1" applyFill="1" applyBorder="1" applyAlignment="1" applyProtection="1">
      <alignment horizontal="left" vertical="top" wrapText="1"/>
      <protection locked="0"/>
    </xf>
    <xf numFmtId="0" fontId="6" fillId="2" borderId="25" xfId="0" applyFont="1" applyFill="1" applyBorder="1" applyProtection="1">
      <protection locked="0"/>
    </xf>
    <xf numFmtId="0" fontId="6" fillId="2" borderId="26" xfId="0" applyFont="1" applyFill="1" applyBorder="1" applyProtection="1">
      <protection locked="0"/>
    </xf>
    <xf numFmtId="0" fontId="6" fillId="2" borderId="27" xfId="0" applyFont="1" applyFill="1" applyBorder="1" applyProtection="1">
      <protection locked="0"/>
    </xf>
    <xf numFmtId="0" fontId="6" fillId="2" borderId="21" xfId="0" applyFont="1" applyFill="1" applyBorder="1" applyProtection="1">
      <protection locked="0"/>
    </xf>
    <xf numFmtId="0" fontId="6" fillId="2" borderId="22" xfId="0" applyFont="1" applyFill="1" applyBorder="1" applyProtection="1">
      <protection locked="0"/>
    </xf>
    <xf numFmtId="0" fontId="6" fillId="2" borderId="6" xfId="0" applyFont="1" applyFill="1" applyBorder="1" applyProtection="1">
      <protection locked="0"/>
    </xf>
    <xf numFmtId="0" fontId="7" fillId="2" borderId="19" xfId="0" applyFont="1" applyFill="1" applyBorder="1" applyAlignment="1" applyProtection="1">
      <alignment wrapText="1"/>
      <protection locked="0"/>
    </xf>
    <xf numFmtId="0" fontId="7" fillId="2" borderId="20" xfId="0" applyFont="1" applyFill="1" applyBorder="1" applyAlignment="1" applyProtection="1">
      <alignment wrapText="1"/>
      <protection locked="0"/>
    </xf>
    <xf numFmtId="0" fontId="6" fillId="2" borderId="16" xfId="0" applyFont="1" applyFill="1" applyBorder="1" applyProtection="1">
      <protection locked="0"/>
    </xf>
    <xf numFmtId="0" fontId="6" fillId="2" borderId="17" xfId="0" applyFont="1" applyFill="1" applyBorder="1" applyProtection="1">
      <protection locked="0"/>
    </xf>
    <xf numFmtId="0" fontId="6" fillId="2" borderId="18" xfId="0" applyFont="1" applyFill="1" applyBorder="1" applyProtection="1">
      <protection locked="0"/>
    </xf>
    <xf numFmtId="0" fontId="14" fillId="2" borderId="12" xfId="0" applyFont="1" applyFill="1" applyBorder="1" applyAlignment="1" applyProtection="1">
      <alignment horizontal="left" vertical="top"/>
      <protection locked="0"/>
    </xf>
    <xf numFmtId="0" fontId="15" fillId="4" borderId="11" xfId="0" applyFont="1" applyFill="1" applyBorder="1" applyAlignment="1" applyProtection="1">
      <alignment horizontal="left" vertical="top" wrapText="1"/>
      <protection locked="0"/>
    </xf>
    <xf numFmtId="0" fontId="15" fillId="4" borderId="12" xfId="0" applyFont="1" applyFill="1" applyBorder="1" applyAlignment="1" applyProtection="1">
      <alignment horizontal="left" vertical="top" wrapText="1"/>
      <protection locked="0"/>
    </xf>
    <xf numFmtId="0" fontId="34" fillId="2" borderId="5" xfId="0" applyFont="1" applyFill="1" applyBorder="1" applyAlignment="1" applyProtection="1">
      <alignment horizontal="center"/>
      <protection locked="0"/>
    </xf>
    <xf numFmtId="0" fontId="34" fillId="2" borderId="4" xfId="0" applyFont="1" applyFill="1" applyBorder="1" applyAlignment="1" applyProtection="1">
      <alignment horizontal="center"/>
      <protection locked="0"/>
    </xf>
    <xf numFmtId="0" fontId="36" fillId="2" borderId="0" xfId="0" applyFont="1" applyFill="1" applyBorder="1" applyAlignment="1" applyProtection="1">
      <alignment horizontal="center"/>
      <protection locked="0"/>
    </xf>
    <xf numFmtId="0" fontId="5" fillId="2" borderId="0" xfId="0" applyFont="1" applyFill="1" applyBorder="1" applyAlignment="1" applyProtection="1">
      <alignment horizontal="center"/>
    </xf>
    <xf numFmtId="0" fontId="37" fillId="2" borderId="0" xfId="0" applyFont="1" applyFill="1" applyBorder="1" applyAlignment="1" applyProtection="1">
      <alignment horizontal="left" vertical="top" wrapText="1"/>
      <protection locked="0"/>
    </xf>
  </cellXfs>
  <cellStyles count="536">
    <cellStyle name="=C:\WINNT\SYSTEM32\COMMAND.COM" xfId="71"/>
    <cellStyle name="Calc Currency (0)" xfId="72"/>
    <cellStyle name="Calc Currency (2)" xfId="73"/>
    <cellStyle name="Calc Percent (0)" xfId="74"/>
    <cellStyle name="Calc Percent (1)" xfId="75"/>
    <cellStyle name="Calc Percent (2)" xfId="76"/>
    <cellStyle name="Calc Units (0)" xfId="77"/>
    <cellStyle name="Calc Units (1)" xfId="78"/>
    <cellStyle name="Calc Units (2)" xfId="79"/>
    <cellStyle name="Comma  - Style1" xfId="80"/>
    <cellStyle name="Comma  - Style2" xfId="81"/>
    <cellStyle name="Comma  - Style3" xfId="82"/>
    <cellStyle name="Comma  - Style4" xfId="83"/>
    <cellStyle name="Comma  - Style5" xfId="84"/>
    <cellStyle name="Comma  - Style6" xfId="85"/>
    <cellStyle name="Comma  - Style7" xfId="86"/>
    <cellStyle name="Comma  - Style8" xfId="87"/>
    <cellStyle name="Comma [00]" xfId="88"/>
    <cellStyle name="Comma 2" xfId="68"/>
    <cellStyle name="Currency [00]" xfId="89"/>
    <cellStyle name="Currency 2" xfId="70"/>
    <cellStyle name="Date Short" xfId="90"/>
    <cellStyle name="Enter Currency (0)" xfId="91"/>
    <cellStyle name="Enter Currency (2)" xfId="92"/>
    <cellStyle name="Enter Units (0)" xfId="93"/>
    <cellStyle name="Enter Units (1)" xfId="94"/>
    <cellStyle name="Enter Units (2)" xfId="95"/>
    <cellStyle name="Followed Hyperlink" xfId="2" builtinId="9" hidden="1"/>
    <cellStyle name="Followed Hyperlink" xfId="4" builtinId="9" hidden="1"/>
    <cellStyle name="Followed Hyperlink" xfId="6" builtinId="9" hidden="1"/>
    <cellStyle name="Followed Hyperlink" xfId="8" builtinId="9" hidden="1"/>
    <cellStyle name="Followed Hyperlink" xfId="10" builtinId="9" hidden="1"/>
    <cellStyle name="Followed Hyperlink" xfId="12" builtinId="9" hidden="1"/>
    <cellStyle name="Followed Hyperlink" xfId="14" builtinId="9" hidden="1"/>
    <cellStyle name="Followed Hyperlink" xfId="16" builtinId="9" hidden="1"/>
    <cellStyle name="Followed Hyperlink" xfId="18" builtinId="9" hidden="1"/>
    <cellStyle name="Followed Hyperlink" xfId="20" builtinId="9" hidden="1"/>
    <cellStyle name="Followed Hyperlink" xfId="22" builtinId="9" hidden="1"/>
    <cellStyle name="Followed Hyperlink" xfId="24" builtinId="9" hidden="1"/>
    <cellStyle name="Followed Hyperlink" xfId="26" builtinId="9" hidden="1"/>
    <cellStyle name="Followed Hyperlink" xfId="28" builtinId="9" hidden="1"/>
    <cellStyle name="Followed Hyperlink" xfId="30" builtinId="9" hidden="1"/>
    <cellStyle name="Followed Hyperlink" xfId="32" builtinId="9" hidden="1"/>
    <cellStyle name="Followed Hyperlink" xfId="34" builtinId="9" hidden="1"/>
    <cellStyle name="Followed Hyperlink" xfId="36" builtinId="9" hidden="1"/>
    <cellStyle name="Followed Hyperlink" xfId="38" builtinId="9" hidden="1"/>
    <cellStyle name="Followed Hyperlink" xfId="40" builtinId="9" hidden="1"/>
    <cellStyle name="Followed Hyperlink" xfId="42" builtinId="9" hidden="1"/>
    <cellStyle name="Followed Hyperlink" xfId="44" builtinId="9" hidden="1"/>
    <cellStyle name="Followed Hyperlink" xfId="46" builtinId="9" hidden="1"/>
    <cellStyle name="Followed Hyperlink" xfId="48" builtinId="9" hidden="1"/>
    <cellStyle name="Followed Hyperlink" xfId="50" builtinId="9" hidden="1"/>
    <cellStyle name="Followed Hyperlink" xfId="52" builtinId="9" hidden="1"/>
    <cellStyle name="Followed Hyperlink" xfId="54" builtinId="9" hidden="1"/>
    <cellStyle name="Followed Hyperlink" xfId="56" builtinId="9" hidden="1"/>
    <cellStyle name="Followed Hyperlink" xfId="58" builtinId="9" hidden="1"/>
    <cellStyle name="Followed Hyperlink" xfId="60" builtinId="9" hidden="1"/>
    <cellStyle name="Followed Hyperlink" xfId="62" builtinId="9" hidden="1"/>
    <cellStyle name="Followed Hyperlink" xfId="64" builtinId="9" hidden="1"/>
    <cellStyle name="Followed Hyperlink" xfId="66" builtinId="9" hidden="1"/>
    <cellStyle name="Followed Hyperlink" xfId="137" builtinId="9" hidden="1"/>
    <cellStyle name="Followed Hyperlink" xfId="139" builtinId="9" hidden="1"/>
    <cellStyle name="Followed Hyperlink" xfId="141" builtinId="9" hidden="1"/>
    <cellStyle name="Followed Hyperlink" xfId="143" builtinId="9" hidden="1"/>
    <cellStyle name="Followed Hyperlink" xfId="145" builtinId="9" hidden="1"/>
    <cellStyle name="Followed Hyperlink" xfId="147" builtinId="9" hidden="1"/>
    <cellStyle name="Followed Hyperlink" xfId="149" builtinId="9" hidden="1"/>
    <cellStyle name="Followed Hyperlink" xfId="151" builtinId="9" hidden="1"/>
    <cellStyle name="Followed Hyperlink" xfId="153" builtinId="9" hidden="1"/>
    <cellStyle name="Followed Hyperlink" xfId="155" builtinId="9" hidden="1"/>
    <cellStyle name="Followed Hyperlink" xfId="157" builtinId="9" hidden="1"/>
    <cellStyle name="Followed Hyperlink" xfId="159" builtinId="9" hidden="1"/>
    <cellStyle name="Followed Hyperlink" xfId="161" builtinId="9" hidden="1"/>
    <cellStyle name="Followed Hyperlink" xfId="163" builtinId="9" hidden="1"/>
    <cellStyle name="Followed Hyperlink" xfId="165" builtinId="9" hidden="1"/>
    <cellStyle name="Followed Hyperlink" xfId="167" builtinId="9" hidden="1"/>
    <cellStyle name="Followed Hyperlink" xfId="169" builtinId="9" hidden="1"/>
    <cellStyle name="Followed Hyperlink" xfId="171" builtinId="9" hidden="1"/>
    <cellStyle name="Followed Hyperlink" xfId="173" builtinId="9" hidden="1"/>
    <cellStyle name="Followed Hyperlink" xfId="175" builtinId="9" hidden="1"/>
    <cellStyle name="Followed Hyperlink" xfId="177" builtinId="9" hidden="1"/>
    <cellStyle name="Followed Hyperlink" xfId="179" builtinId="9" hidden="1"/>
    <cellStyle name="Followed Hyperlink" xfId="181" builtinId="9" hidden="1"/>
    <cellStyle name="Followed Hyperlink" xfId="183" builtinId="9" hidden="1"/>
    <cellStyle name="Followed Hyperlink" xfId="185" builtinId="9" hidden="1"/>
    <cellStyle name="Followed Hyperlink" xfId="187" builtinId="9" hidden="1"/>
    <cellStyle name="Followed Hyperlink" xfId="189" builtinId="9" hidden="1"/>
    <cellStyle name="Followed Hyperlink" xfId="191" builtinId="9" hidden="1"/>
    <cellStyle name="Followed Hyperlink" xfId="193" builtinId="9" hidden="1"/>
    <cellStyle name="Followed Hyperlink" xfId="195" builtinId="9" hidden="1"/>
    <cellStyle name="Followed Hyperlink" xfId="197" builtinId="9" hidden="1"/>
    <cellStyle name="Followed Hyperlink" xfId="199" builtinId="9" hidden="1"/>
    <cellStyle name="Followed Hyperlink" xfId="201" builtinId="9" hidden="1"/>
    <cellStyle name="Followed Hyperlink" xfId="203" builtinId="9" hidden="1"/>
    <cellStyle name="Followed Hyperlink" xfId="205" builtinId="9" hidden="1"/>
    <cellStyle name="Followed Hyperlink" xfId="207" builtinId="9" hidden="1"/>
    <cellStyle name="Followed Hyperlink" xfId="209" builtinId="9" hidden="1"/>
    <cellStyle name="Followed Hyperlink" xfId="211" builtinId="9" hidden="1"/>
    <cellStyle name="Followed Hyperlink" xfId="213" builtinId="9" hidden="1"/>
    <cellStyle name="Followed Hyperlink" xfId="215" builtinId="9" hidden="1"/>
    <cellStyle name="Followed Hyperlink" xfId="217" builtinId="9" hidden="1"/>
    <cellStyle name="Followed Hyperlink" xfId="219" builtinId="9" hidden="1"/>
    <cellStyle name="Followed Hyperlink" xfId="221" builtinId="9" hidden="1"/>
    <cellStyle name="Followed Hyperlink" xfId="223" builtinId="9" hidden="1"/>
    <cellStyle name="Followed Hyperlink" xfId="225" builtinId="9" hidden="1"/>
    <cellStyle name="Followed Hyperlink" xfId="227" builtinId="9" hidden="1"/>
    <cellStyle name="Followed Hyperlink" xfId="229" builtinId="9" hidden="1"/>
    <cellStyle name="Followed Hyperlink" xfId="231" builtinId="9" hidden="1"/>
    <cellStyle name="Followed Hyperlink" xfId="233" builtinId="9" hidden="1"/>
    <cellStyle name="Followed Hyperlink" xfId="235" builtinId="9" hidden="1"/>
    <cellStyle name="Followed Hyperlink" xfId="237" builtinId="9" hidden="1"/>
    <cellStyle name="Followed Hyperlink" xfId="239" builtinId="9" hidden="1"/>
    <cellStyle name="Followed Hyperlink" xfId="241" builtinId="9" hidden="1"/>
    <cellStyle name="Followed Hyperlink" xfId="243" builtinId="9" hidden="1"/>
    <cellStyle name="Followed Hyperlink" xfId="245" builtinId="9" hidden="1"/>
    <cellStyle name="Followed Hyperlink" xfId="247" builtinId="9" hidden="1"/>
    <cellStyle name="Followed Hyperlink" xfId="249" builtinId="9" hidden="1"/>
    <cellStyle name="Followed Hyperlink" xfId="251" builtinId="9" hidden="1"/>
    <cellStyle name="Followed Hyperlink" xfId="253" builtinId="9" hidden="1"/>
    <cellStyle name="Followed Hyperlink" xfId="255" builtinId="9" hidden="1"/>
    <cellStyle name="Followed Hyperlink" xfId="257" builtinId="9" hidden="1"/>
    <cellStyle name="Followed Hyperlink" xfId="259" builtinId="9" hidden="1"/>
    <cellStyle name="Followed Hyperlink" xfId="261" builtinId="9" hidden="1"/>
    <cellStyle name="Followed Hyperlink" xfId="263" builtinId="9" hidden="1"/>
    <cellStyle name="Followed Hyperlink" xfId="265" builtinId="9" hidden="1"/>
    <cellStyle name="Followed Hyperlink" xfId="267" builtinId="9" hidden="1"/>
    <cellStyle name="Followed Hyperlink" xfId="269" builtinId="9" hidden="1"/>
    <cellStyle name="Followed Hyperlink" xfId="271" builtinId="9" hidden="1"/>
    <cellStyle name="Followed Hyperlink" xfId="273" builtinId="9" hidden="1"/>
    <cellStyle name="Followed Hyperlink" xfId="275" builtinId="9" hidden="1"/>
    <cellStyle name="Followed Hyperlink" xfId="277" builtinId="9" hidden="1"/>
    <cellStyle name="Followed Hyperlink" xfId="279" builtinId="9" hidden="1"/>
    <cellStyle name="Followed Hyperlink" xfId="281" builtinId="9" hidden="1"/>
    <cellStyle name="Followed Hyperlink" xfId="283" builtinId="9" hidden="1"/>
    <cellStyle name="Followed Hyperlink" xfId="285" builtinId="9" hidden="1"/>
    <cellStyle name="Followed Hyperlink" xfId="287" builtinId="9" hidden="1"/>
    <cellStyle name="Followed Hyperlink" xfId="289" builtinId="9" hidden="1"/>
    <cellStyle name="Followed Hyperlink" xfId="291" builtinId="9" hidden="1"/>
    <cellStyle name="Followed Hyperlink" xfId="293" builtinId="9" hidden="1"/>
    <cellStyle name="Followed Hyperlink" xfId="295" builtinId="9" hidden="1"/>
    <cellStyle name="Followed Hyperlink" xfId="297" builtinId="9" hidden="1"/>
    <cellStyle name="Followed Hyperlink" xfId="299" builtinId="9" hidden="1"/>
    <cellStyle name="Followed Hyperlink" xfId="301" builtinId="9" hidden="1"/>
    <cellStyle name="Followed Hyperlink" xfId="303" builtinId="9" hidden="1"/>
    <cellStyle name="Followed Hyperlink" xfId="305" builtinId="9" hidden="1"/>
    <cellStyle name="Followed Hyperlink" xfId="307" builtinId="9" hidden="1"/>
    <cellStyle name="Followed Hyperlink" xfId="309" builtinId="9" hidden="1"/>
    <cellStyle name="Followed Hyperlink" xfId="311" builtinId="9" hidden="1"/>
    <cellStyle name="Followed Hyperlink" xfId="313" builtinId="9" hidden="1"/>
    <cellStyle name="Followed Hyperlink" xfId="315" builtinId="9" hidden="1"/>
    <cellStyle name="Followed Hyperlink" xfId="317" builtinId="9" hidden="1"/>
    <cellStyle name="Followed Hyperlink" xfId="319" builtinId="9" hidden="1"/>
    <cellStyle name="Followed Hyperlink" xfId="321" builtinId="9" hidden="1"/>
    <cellStyle name="Followed Hyperlink" xfId="323" builtinId="9" hidden="1"/>
    <cellStyle name="Followed Hyperlink" xfId="325" builtinId="9" hidden="1"/>
    <cellStyle name="Followed Hyperlink" xfId="327" builtinId="9" hidden="1"/>
    <cellStyle name="Followed Hyperlink" xfId="329" builtinId="9" hidden="1"/>
    <cellStyle name="Followed Hyperlink" xfId="331" builtinId="9" hidden="1"/>
    <cellStyle name="Followed Hyperlink" xfId="333" builtinId="9" hidden="1"/>
    <cellStyle name="Followed Hyperlink" xfId="335" builtinId="9" hidden="1"/>
    <cellStyle name="Followed Hyperlink" xfId="337" builtinId="9" hidden="1"/>
    <cellStyle name="Followed Hyperlink" xfId="339" builtinId="9" hidden="1"/>
    <cellStyle name="Followed Hyperlink" xfId="341" builtinId="9" hidden="1"/>
    <cellStyle name="Followed Hyperlink" xfId="343" builtinId="9" hidden="1"/>
    <cellStyle name="Followed Hyperlink" xfId="345" builtinId="9" hidden="1"/>
    <cellStyle name="Followed Hyperlink" xfId="347" builtinId="9" hidden="1"/>
    <cellStyle name="Followed Hyperlink" xfId="349" builtinId="9" hidden="1"/>
    <cellStyle name="Followed Hyperlink" xfId="351" builtinId="9" hidden="1"/>
    <cellStyle name="Followed Hyperlink" xfId="353" builtinId="9" hidden="1"/>
    <cellStyle name="Followed Hyperlink" xfId="355" builtinId="9" hidden="1"/>
    <cellStyle name="Followed Hyperlink" xfId="357" builtinId="9" hidden="1"/>
    <cellStyle name="Followed Hyperlink" xfId="359" builtinId="9" hidden="1"/>
    <cellStyle name="Followed Hyperlink" xfId="361" builtinId="9" hidden="1"/>
    <cellStyle name="Followed Hyperlink" xfId="363" builtinId="9" hidden="1"/>
    <cellStyle name="Followed Hyperlink" xfId="365" builtinId="9" hidden="1"/>
    <cellStyle name="Followed Hyperlink" xfId="367" builtinId="9" hidden="1"/>
    <cellStyle name="Followed Hyperlink" xfId="369" builtinId="9" hidden="1"/>
    <cellStyle name="Followed Hyperlink" xfId="371" builtinId="9" hidden="1"/>
    <cellStyle name="Followed Hyperlink" xfId="373" builtinId="9" hidden="1"/>
    <cellStyle name="Followed Hyperlink" xfId="375" builtinId="9" hidden="1"/>
    <cellStyle name="Followed Hyperlink" xfId="377" builtinId="9" hidden="1"/>
    <cellStyle name="Followed Hyperlink" xfId="379" builtinId="9" hidden="1"/>
    <cellStyle name="Followed Hyperlink" xfId="381" builtinId="9" hidden="1"/>
    <cellStyle name="Followed Hyperlink" xfId="383" builtinId="9" hidden="1"/>
    <cellStyle name="Followed Hyperlink" xfId="385" builtinId="9" hidden="1"/>
    <cellStyle name="Followed Hyperlink" xfId="387" builtinId="9" hidden="1"/>
    <cellStyle name="Followed Hyperlink" xfId="389" builtinId="9" hidden="1"/>
    <cellStyle name="Followed Hyperlink" xfId="391" builtinId="9" hidden="1"/>
    <cellStyle name="Followed Hyperlink" xfId="393" builtinId="9" hidden="1"/>
    <cellStyle name="Followed Hyperlink" xfId="395" builtinId="9" hidden="1"/>
    <cellStyle name="Followed Hyperlink" xfId="397" builtinId="9" hidden="1"/>
    <cellStyle name="Followed Hyperlink" xfId="399" builtinId="9" hidden="1"/>
    <cellStyle name="Followed Hyperlink" xfId="401" builtinId="9" hidden="1"/>
    <cellStyle name="Followed Hyperlink" xfId="403" builtinId="9" hidden="1"/>
    <cellStyle name="Followed Hyperlink" xfId="405" builtinId="9" hidden="1"/>
    <cellStyle name="Followed Hyperlink" xfId="407" builtinId="9" hidden="1"/>
    <cellStyle name="Followed Hyperlink" xfId="409" builtinId="9" hidden="1"/>
    <cellStyle name="Followed Hyperlink" xfId="411" builtinId="9" hidden="1"/>
    <cellStyle name="Followed Hyperlink" xfId="413" builtinId="9" hidden="1"/>
    <cellStyle name="Followed Hyperlink" xfId="415" builtinId="9" hidden="1"/>
    <cellStyle name="Followed Hyperlink" xfId="417" builtinId="9" hidden="1"/>
    <cellStyle name="Followed Hyperlink" xfId="419" builtinId="9" hidden="1"/>
    <cellStyle name="Followed Hyperlink" xfId="421" builtinId="9" hidden="1"/>
    <cellStyle name="Followed Hyperlink" xfId="423" builtinId="9" hidden="1"/>
    <cellStyle name="Followed Hyperlink" xfId="425" builtinId="9" hidden="1"/>
    <cellStyle name="Followed Hyperlink" xfId="427" builtinId="9" hidden="1"/>
    <cellStyle name="Followed Hyperlink" xfId="429" builtinId="9" hidden="1"/>
    <cellStyle name="Followed Hyperlink" xfId="431" builtinId="9" hidden="1"/>
    <cellStyle name="Followed Hyperlink" xfId="433" builtinId="9" hidden="1"/>
    <cellStyle name="Followed Hyperlink" xfId="435" builtinId="9" hidden="1"/>
    <cellStyle name="Followed Hyperlink" xfId="437" builtinId="9" hidden="1"/>
    <cellStyle name="Followed Hyperlink" xfId="439" builtinId="9" hidden="1"/>
    <cellStyle name="Followed Hyperlink" xfId="441" builtinId="9" hidden="1"/>
    <cellStyle name="Followed Hyperlink" xfId="443" builtinId="9" hidden="1"/>
    <cellStyle name="Followed Hyperlink" xfId="445" builtinId="9" hidden="1"/>
    <cellStyle name="Followed Hyperlink" xfId="447" builtinId="9" hidden="1"/>
    <cellStyle name="Followed Hyperlink" xfId="449" builtinId="9" hidden="1"/>
    <cellStyle name="Followed Hyperlink" xfId="451" builtinId="9" hidden="1"/>
    <cellStyle name="Followed Hyperlink" xfId="453" builtinId="9" hidden="1"/>
    <cellStyle name="Followed Hyperlink" xfId="455" builtinId="9" hidden="1"/>
    <cellStyle name="Followed Hyperlink" xfId="457" builtinId="9" hidden="1"/>
    <cellStyle name="Followed Hyperlink" xfId="459" builtinId="9" hidden="1"/>
    <cellStyle name="Followed Hyperlink" xfId="461" builtinId="9" hidden="1"/>
    <cellStyle name="Followed Hyperlink" xfId="463" builtinId="9" hidden="1"/>
    <cellStyle name="Followed Hyperlink" xfId="465" builtinId="9" hidden="1"/>
    <cellStyle name="Followed Hyperlink" xfId="467" builtinId="9" hidden="1"/>
    <cellStyle name="Followed Hyperlink" xfId="469" builtinId="9" hidden="1"/>
    <cellStyle name="Followed Hyperlink" xfId="471" builtinId="9" hidden="1"/>
    <cellStyle name="Followed Hyperlink" xfId="473" builtinId="9" hidden="1"/>
    <cellStyle name="Followed Hyperlink" xfId="475" builtinId="9" hidden="1"/>
    <cellStyle name="Followed Hyperlink" xfId="477" builtinId="9" hidden="1"/>
    <cellStyle name="Followed Hyperlink" xfId="479" builtinId="9" hidden="1"/>
    <cellStyle name="Followed Hyperlink" xfId="481" builtinId="9" hidden="1"/>
    <cellStyle name="Followed Hyperlink" xfId="483" builtinId="9" hidden="1"/>
    <cellStyle name="Followed Hyperlink" xfId="485" builtinId="9" hidden="1"/>
    <cellStyle name="Followed Hyperlink" xfId="487" builtinId="9" hidden="1"/>
    <cellStyle name="Followed Hyperlink" xfId="489" builtinId="9" hidden="1"/>
    <cellStyle name="Followed Hyperlink" xfId="491" builtinId="9" hidden="1"/>
    <cellStyle name="Followed Hyperlink" xfId="493" builtinId="9" hidden="1"/>
    <cellStyle name="Followed Hyperlink" xfId="495" builtinId="9" hidden="1"/>
    <cellStyle name="Followed Hyperlink" xfId="497" builtinId="9" hidden="1"/>
    <cellStyle name="Followed Hyperlink" xfId="499" builtinId="9" hidden="1"/>
    <cellStyle name="Followed Hyperlink" xfId="501" builtinId="9" hidden="1"/>
    <cellStyle name="Followed Hyperlink" xfId="503" builtinId="9" hidden="1"/>
    <cellStyle name="Followed Hyperlink" xfId="505" builtinId="9" hidden="1"/>
    <cellStyle name="Followed Hyperlink" xfId="507" builtinId="9" hidden="1"/>
    <cellStyle name="Followed Hyperlink" xfId="509" builtinId="9" hidden="1"/>
    <cellStyle name="Followed Hyperlink" xfId="511" builtinId="9" hidden="1"/>
    <cellStyle name="Followed Hyperlink" xfId="513" builtinId="9" hidden="1"/>
    <cellStyle name="Followed Hyperlink" xfId="515" builtinId="9" hidden="1"/>
    <cellStyle name="Followed Hyperlink" xfId="517" builtinId="9" hidden="1"/>
    <cellStyle name="Followed Hyperlink" xfId="519" builtinId="9" hidden="1"/>
    <cellStyle name="Followed Hyperlink" xfId="521" builtinId="9" hidden="1"/>
    <cellStyle name="Followed Hyperlink" xfId="523" builtinId="9" hidden="1"/>
    <cellStyle name="Followed Hyperlink" xfId="525" builtinId="9" hidden="1"/>
    <cellStyle name="Followed Hyperlink" xfId="527" builtinId="9" hidden="1"/>
    <cellStyle name="Followed Hyperlink" xfId="529" builtinId="9" hidden="1"/>
    <cellStyle name="Followed Hyperlink" xfId="531" builtinId="9" hidden="1"/>
    <cellStyle name="Followed Hyperlink" xfId="533" builtinId="9" hidden="1"/>
    <cellStyle name="Followed Hyperlink" xfId="535" builtinId="9" hidden="1"/>
    <cellStyle name="Header1" xfId="96"/>
    <cellStyle name="Header2" xfId="97"/>
    <cellStyle name="Hyperlink" xfId="1" builtinId="8" hidden="1"/>
    <cellStyle name="Hyperlink" xfId="3" builtinId="8" hidden="1"/>
    <cellStyle name="Hyperlink" xfId="5" builtinId="8" hidden="1"/>
    <cellStyle name="Hyperlink" xfId="7" builtinId="8" hidden="1"/>
    <cellStyle name="Hyperlink" xfId="9" builtinId="8" hidden="1"/>
    <cellStyle name="Hyperlink" xfId="11" builtinId="8" hidden="1"/>
    <cellStyle name="Hyperlink" xfId="13" builtinId="8" hidden="1"/>
    <cellStyle name="Hyperlink" xfId="15" builtinId="8" hidden="1"/>
    <cellStyle name="Hyperlink" xfId="17" builtinId="8" hidden="1"/>
    <cellStyle name="Hyperlink" xfId="19" builtinId="8" hidden="1"/>
    <cellStyle name="Hyperlink" xfId="21" builtinId="8" hidden="1"/>
    <cellStyle name="Hyperlink" xfId="23" builtinId="8" hidden="1"/>
    <cellStyle name="Hyperlink" xfId="25" builtinId="8" hidden="1"/>
    <cellStyle name="Hyperlink" xfId="27" builtinId="8" hidden="1"/>
    <cellStyle name="Hyperlink" xfId="29" builtinId="8" hidden="1"/>
    <cellStyle name="Hyperlink" xfId="31" builtinId="8" hidden="1"/>
    <cellStyle name="Hyperlink" xfId="33" builtinId="8" hidden="1"/>
    <cellStyle name="Hyperlink" xfId="35" builtinId="8" hidden="1"/>
    <cellStyle name="Hyperlink" xfId="37" builtinId="8" hidden="1"/>
    <cellStyle name="Hyperlink" xfId="39" builtinId="8" hidden="1"/>
    <cellStyle name="Hyperlink" xfId="41" builtinId="8" hidden="1"/>
    <cellStyle name="Hyperlink" xfId="43" builtinId="8" hidden="1"/>
    <cellStyle name="Hyperlink" xfId="45" builtinId="8" hidden="1"/>
    <cellStyle name="Hyperlink" xfId="47" builtinId="8" hidden="1"/>
    <cellStyle name="Hyperlink" xfId="49" builtinId="8" hidden="1"/>
    <cellStyle name="Hyperlink" xfId="51" builtinId="8" hidden="1"/>
    <cellStyle name="Hyperlink" xfId="53" builtinId="8" hidden="1"/>
    <cellStyle name="Hyperlink" xfId="55" builtinId="8" hidden="1"/>
    <cellStyle name="Hyperlink" xfId="57" builtinId="8" hidden="1"/>
    <cellStyle name="Hyperlink" xfId="59" builtinId="8" hidden="1"/>
    <cellStyle name="Hyperlink" xfId="61" builtinId="8" hidden="1"/>
    <cellStyle name="Hyperlink" xfId="63" builtinId="8" hidden="1"/>
    <cellStyle name="Hyperlink" xfId="65" builtinId="8" hidden="1"/>
    <cellStyle name="Hyperlink" xfId="136" builtinId="8" hidden="1"/>
    <cellStyle name="Hyperlink" xfId="138" builtinId="8" hidden="1"/>
    <cellStyle name="Hyperlink" xfId="140" builtinId="8" hidden="1"/>
    <cellStyle name="Hyperlink" xfId="142" builtinId="8" hidden="1"/>
    <cellStyle name="Hyperlink" xfId="144" builtinId="8" hidden="1"/>
    <cellStyle name="Hyperlink" xfId="146" builtinId="8" hidden="1"/>
    <cellStyle name="Hyperlink" xfId="148" builtinId="8" hidden="1"/>
    <cellStyle name="Hyperlink" xfId="150" builtinId="8" hidden="1"/>
    <cellStyle name="Hyperlink" xfId="152" builtinId="8" hidden="1"/>
    <cellStyle name="Hyperlink" xfId="154" builtinId="8" hidden="1"/>
    <cellStyle name="Hyperlink" xfId="156" builtinId="8" hidden="1"/>
    <cellStyle name="Hyperlink" xfId="158" builtinId="8" hidden="1"/>
    <cellStyle name="Hyperlink" xfId="160" builtinId="8" hidden="1"/>
    <cellStyle name="Hyperlink" xfId="162" builtinId="8" hidden="1"/>
    <cellStyle name="Hyperlink" xfId="164" builtinId="8" hidden="1"/>
    <cellStyle name="Hyperlink" xfId="166" builtinId="8" hidden="1"/>
    <cellStyle name="Hyperlink" xfId="168" builtinId="8" hidden="1"/>
    <cellStyle name="Hyperlink" xfId="170" builtinId="8" hidden="1"/>
    <cellStyle name="Hyperlink" xfId="172" builtinId="8" hidden="1"/>
    <cellStyle name="Hyperlink" xfId="174" builtinId="8" hidden="1"/>
    <cellStyle name="Hyperlink" xfId="176" builtinId="8" hidden="1"/>
    <cellStyle name="Hyperlink" xfId="178" builtinId="8" hidden="1"/>
    <cellStyle name="Hyperlink" xfId="180" builtinId="8" hidden="1"/>
    <cellStyle name="Hyperlink" xfId="182" builtinId="8" hidden="1"/>
    <cellStyle name="Hyperlink" xfId="184" builtinId="8" hidden="1"/>
    <cellStyle name="Hyperlink" xfId="186" builtinId="8" hidden="1"/>
    <cellStyle name="Hyperlink" xfId="188" builtinId="8" hidden="1"/>
    <cellStyle name="Hyperlink" xfId="190" builtinId="8" hidden="1"/>
    <cellStyle name="Hyperlink" xfId="192" builtinId="8" hidden="1"/>
    <cellStyle name="Hyperlink" xfId="194" builtinId="8" hidden="1"/>
    <cellStyle name="Hyperlink" xfId="196" builtinId="8" hidden="1"/>
    <cellStyle name="Hyperlink" xfId="198" builtinId="8" hidden="1"/>
    <cellStyle name="Hyperlink" xfId="200" builtinId="8" hidden="1"/>
    <cellStyle name="Hyperlink" xfId="202" builtinId="8" hidden="1"/>
    <cellStyle name="Hyperlink" xfId="204" builtinId="8" hidden="1"/>
    <cellStyle name="Hyperlink" xfId="206" builtinId="8" hidden="1"/>
    <cellStyle name="Hyperlink" xfId="208" builtinId="8" hidden="1"/>
    <cellStyle name="Hyperlink" xfId="210" builtinId="8" hidden="1"/>
    <cellStyle name="Hyperlink" xfId="212" builtinId="8" hidden="1"/>
    <cellStyle name="Hyperlink" xfId="214" builtinId="8" hidden="1"/>
    <cellStyle name="Hyperlink" xfId="216" builtinId="8" hidden="1"/>
    <cellStyle name="Hyperlink" xfId="218" builtinId="8" hidden="1"/>
    <cellStyle name="Hyperlink" xfId="220" builtinId="8" hidden="1"/>
    <cellStyle name="Hyperlink" xfId="222" builtinId="8" hidden="1"/>
    <cellStyle name="Hyperlink" xfId="224" builtinId="8" hidden="1"/>
    <cellStyle name="Hyperlink" xfId="226" builtinId="8" hidden="1"/>
    <cellStyle name="Hyperlink" xfId="228" builtinId="8" hidden="1"/>
    <cellStyle name="Hyperlink" xfId="230" builtinId="8" hidden="1"/>
    <cellStyle name="Hyperlink" xfId="232" builtinId="8" hidden="1"/>
    <cellStyle name="Hyperlink" xfId="234" builtinId="8" hidden="1"/>
    <cellStyle name="Hyperlink" xfId="236" builtinId="8" hidden="1"/>
    <cellStyle name="Hyperlink" xfId="238" builtinId="8" hidden="1"/>
    <cellStyle name="Hyperlink" xfId="240" builtinId="8" hidden="1"/>
    <cellStyle name="Hyperlink" xfId="242" builtinId="8" hidden="1"/>
    <cellStyle name="Hyperlink" xfId="244" builtinId="8" hidden="1"/>
    <cellStyle name="Hyperlink" xfId="246" builtinId="8" hidden="1"/>
    <cellStyle name="Hyperlink" xfId="248" builtinId="8" hidden="1"/>
    <cellStyle name="Hyperlink" xfId="250" builtinId="8" hidden="1"/>
    <cellStyle name="Hyperlink" xfId="252" builtinId="8" hidden="1"/>
    <cellStyle name="Hyperlink" xfId="254" builtinId="8" hidden="1"/>
    <cellStyle name="Hyperlink" xfId="256" builtinId="8" hidden="1"/>
    <cellStyle name="Hyperlink" xfId="258" builtinId="8" hidden="1"/>
    <cellStyle name="Hyperlink" xfId="260" builtinId="8" hidden="1"/>
    <cellStyle name="Hyperlink" xfId="262" builtinId="8" hidden="1"/>
    <cellStyle name="Hyperlink" xfId="264" builtinId="8" hidden="1"/>
    <cellStyle name="Hyperlink" xfId="266" builtinId="8" hidden="1"/>
    <cellStyle name="Hyperlink" xfId="268" builtinId="8" hidden="1"/>
    <cellStyle name="Hyperlink" xfId="270" builtinId="8" hidden="1"/>
    <cellStyle name="Hyperlink" xfId="272" builtinId="8" hidden="1"/>
    <cellStyle name="Hyperlink" xfId="274" builtinId="8" hidden="1"/>
    <cellStyle name="Hyperlink" xfId="276" builtinId="8" hidden="1"/>
    <cellStyle name="Hyperlink" xfId="278" builtinId="8" hidden="1"/>
    <cellStyle name="Hyperlink" xfId="280" builtinId="8" hidden="1"/>
    <cellStyle name="Hyperlink" xfId="282" builtinId="8" hidden="1"/>
    <cellStyle name="Hyperlink" xfId="284" builtinId="8" hidden="1"/>
    <cellStyle name="Hyperlink" xfId="286" builtinId="8" hidden="1"/>
    <cellStyle name="Hyperlink" xfId="288" builtinId="8" hidden="1"/>
    <cellStyle name="Hyperlink" xfId="290" builtinId="8" hidden="1"/>
    <cellStyle name="Hyperlink" xfId="292" builtinId="8" hidden="1"/>
    <cellStyle name="Hyperlink" xfId="294" builtinId="8" hidden="1"/>
    <cellStyle name="Hyperlink" xfId="296" builtinId="8" hidden="1"/>
    <cellStyle name="Hyperlink" xfId="298" builtinId="8" hidden="1"/>
    <cellStyle name="Hyperlink" xfId="300" builtinId="8" hidden="1"/>
    <cellStyle name="Hyperlink" xfId="302" builtinId="8" hidden="1"/>
    <cellStyle name="Hyperlink" xfId="304" builtinId="8" hidden="1"/>
    <cellStyle name="Hyperlink" xfId="306" builtinId="8" hidden="1"/>
    <cellStyle name="Hyperlink" xfId="308" builtinId="8" hidden="1"/>
    <cellStyle name="Hyperlink" xfId="310" builtinId="8" hidden="1"/>
    <cellStyle name="Hyperlink" xfId="312" builtinId="8" hidden="1"/>
    <cellStyle name="Hyperlink" xfId="314" builtinId="8" hidden="1"/>
    <cellStyle name="Hyperlink" xfId="316" builtinId="8" hidden="1"/>
    <cellStyle name="Hyperlink" xfId="318" builtinId="8" hidden="1"/>
    <cellStyle name="Hyperlink" xfId="320" builtinId="8" hidden="1"/>
    <cellStyle name="Hyperlink" xfId="322" builtinId="8" hidden="1"/>
    <cellStyle name="Hyperlink" xfId="324" builtinId="8" hidden="1"/>
    <cellStyle name="Hyperlink" xfId="326" builtinId="8" hidden="1"/>
    <cellStyle name="Hyperlink" xfId="328" builtinId="8" hidden="1"/>
    <cellStyle name="Hyperlink" xfId="330" builtinId="8" hidden="1"/>
    <cellStyle name="Hyperlink" xfId="332" builtinId="8" hidden="1"/>
    <cellStyle name="Hyperlink" xfId="334" builtinId="8" hidden="1"/>
    <cellStyle name="Hyperlink" xfId="336" builtinId="8" hidden="1"/>
    <cellStyle name="Hyperlink" xfId="338" builtinId="8" hidden="1"/>
    <cellStyle name="Hyperlink" xfId="340" builtinId="8" hidden="1"/>
    <cellStyle name="Hyperlink" xfId="342" builtinId="8" hidden="1"/>
    <cellStyle name="Hyperlink" xfId="344" builtinId="8" hidden="1"/>
    <cellStyle name="Hyperlink" xfId="346" builtinId="8" hidden="1"/>
    <cellStyle name="Hyperlink" xfId="348" builtinId="8" hidden="1"/>
    <cellStyle name="Hyperlink" xfId="350" builtinId="8" hidden="1"/>
    <cellStyle name="Hyperlink" xfId="352" builtinId="8" hidden="1"/>
    <cellStyle name="Hyperlink" xfId="354" builtinId="8" hidden="1"/>
    <cellStyle name="Hyperlink" xfId="356" builtinId="8" hidden="1"/>
    <cellStyle name="Hyperlink" xfId="358" builtinId="8" hidden="1"/>
    <cellStyle name="Hyperlink" xfId="360" builtinId="8" hidden="1"/>
    <cellStyle name="Hyperlink" xfId="362" builtinId="8" hidden="1"/>
    <cellStyle name="Hyperlink" xfId="364" builtinId="8" hidden="1"/>
    <cellStyle name="Hyperlink" xfId="366" builtinId="8" hidden="1"/>
    <cellStyle name="Hyperlink" xfId="368" builtinId="8" hidden="1"/>
    <cellStyle name="Hyperlink" xfId="370" builtinId="8" hidden="1"/>
    <cellStyle name="Hyperlink" xfId="372" builtinId="8" hidden="1"/>
    <cellStyle name="Hyperlink" xfId="374" builtinId="8" hidden="1"/>
    <cellStyle name="Hyperlink" xfId="376" builtinId="8" hidden="1"/>
    <cellStyle name="Hyperlink" xfId="378" builtinId="8" hidden="1"/>
    <cellStyle name="Hyperlink" xfId="380" builtinId="8" hidden="1"/>
    <cellStyle name="Hyperlink" xfId="382" builtinId="8" hidden="1"/>
    <cellStyle name="Hyperlink" xfId="384" builtinId="8" hidden="1"/>
    <cellStyle name="Hyperlink" xfId="386" builtinId="8" hidden="1"/>
    <cellStyle name="Hyperlink" xfId="388" builtinId="8" hidden="1"/>
    <cellStyle name="Hyperlink" xfId="390" builtinId="8" hidden="1"/>
    <cellStyle name="Hyperlink" xfId="392" builtinId="8" hidden="1"/>
    <cellStyle name="Hyperlink" xfId="394" builtinId="8" hidden="1"/>
    <cellStyle name="Hyperlink" xfId="396" builtinId="8" hidden="1"/>
    <cellStyle name="Hyperlink" xfId="398" builtinId="8" hidden="1"/>
    <cellStyle name="Hyperlink" xfId="400" builtinId="8" hidden="1"/>
    <cellStyle name="Hyperlink" xfId="402" builtinId="8" hidden="1"/>
    <cellStyle name="Hyperlink" xfId="404" builtinId="8" hidden="1"/>
    <cellStyle name="Hyperlink" xfId="406" builtinId="8" hidden="1"/>
    <cellStyle name="Hyperlink" xfId="408" builtinId="8" hidden="1"/>
    <cellStyle name="Hyperlink" xfId="410" builtinId="8" hidden="1"/>
    <cellStyle name="Hyperlink" xfId="412" builtinId="8" hidden="1"/>
    <cellStyle name="Hyperlink" xfId="414" builtinId="8" hidden="1"/>
    <cellStyle name="Hyperlink" xfId="416" builtinId="8" hidden="1"/>
    <cellStyle name="Hyperlink" xfId="418" builtinId="8" hidden="1"/>
    <cellStyle name="Hyperlink" xfId="420" builtinId="8" hidden="1"/>
    <cellStyle name="Hyperlink" xfId="422" builtinId="8" hidden="1"/>
    <cellStyle name="Hyperlink" xfId="424" builtinId="8" hidden="1"/>
    <cellStyle name="Hyperlink" xfId="426" builtinId="8" hidden="1"/>
    <cellStyle name="Hyperlink" xfId="428" builtinId="8" hidden="1"/>
    <cellStyle name="Hyperlink" xfId="430" builtinId="8" hidden="1"/>
    <cellStyle name="Hyperlink" xfId="432" builtinId="8" hidden="1"/>
    <cellStyle name="Hyperlink" xfId="434" builtinId="8" hidden="1"/>
    <cellStyle name="Hyperlink" xfId="436" builtinId="8" hidden="1"/>
    <cellStyle name="Hyperlink" xfId="438" builtinId="8" hidden="1"/>
    <cellStyle name="Hyperlink" xfId="440" builtinId="8" hidden="1"/>
    <cellStyle name="Hyperlink" xfId="442" builtinId="8" hidden="1"/>
    <cellStyle name="Hyperlink" xfId="444" builtinId="8" hidden="1"/>
    <cellStyle name="Hyperlink" xfId="446" builtinId="8" hidden="1"/>
    <cellStyle name="Hyperlink" xfId="448" builtinId="8" hidden="1"/>
    <cellStyle name="Hyperlink" xfId="450" builtinId="8" hidden="1"/>
    <cellStyle name="Hyperlink" xfId="452" builtinId="8" hidden="1"/>
    <cellStyle name="Hyperlink" xfId="454" builtinId="8" hidden="1"/>
    <cellStyle name="Hyperlink" xfId="456" builtinId="8" hidden="1"/>
    <cellStyle name="Hyperlink" xfId="458" builtinId="8" hidden="1"/>
    <cellStyle name="Hyperlink" xfId="460" builtinId="8" hidden="1"/>
    <cellStyle name="Hyperlink" xfId="462" builtinId="8" hidden="1"/>
    <cellStyle name="Hyperlink" xfId="464" builtinId="8" hidden="1"/>
    <cellStyle name="Hyperlink" xfId="466" builtinId="8" hidden="1"/>
    <cellStyle name="Hyperlink" xfId="468" builtinId="8" hidden="1"/>
    <cellStyle name="Hyperlink" xfId="470" builtinId="8" hidden="1"/>
    <cellStyle name="Hyperlink" xfId="472" builtinId="8" hidden="1"/>
    <cellStyle name="Hyperlink" xfId="474" builtinId="8" hidden="1"/>
    <cellStyle name="Hyperlink" xfId="476" builtinId="8" hidden="1"/>
    <cellStyle name="Hyperlink" xfId="478" builtinId="8" hidden="1"/>
    <cellStyle name="Hyperlink" xfId="480" builtinId="8" hidden="1"/>
    <cellStyle name="Hyperlink" xfId="482" builtinId="8" hidden="1"/>
    <cellStyle name="Hyperlink" xfId="484" builtinId="8" hidden="1"/>
    <cellStyle name="Hyperlink" xfId="486" builtinId="8" hidden="1"/>
    <cellStyle name="Hyperlink" xfId="488" builtinId="8" hidden="1"/>
    <cellStyle name="Hyperlink" xfId="490" builtinId="8" hidden="1"/>
    <cellStyle name="Hyperlink" xfId="492" builtinId="8" hidden="1"/>
    <cellStyle name="Hyperlink" xfId="494" builtinId="8" hidden="1"/>
    <cellStyle name="Hyperlink" xfId="496" builtinId="8" hidden="1"/>
    <cellStyle name="Hyperlink" xfId="498" builtinId="8" hidden="1"/>
    <cellStyle name="Hyperlink" xfId="500" builtinId="8" hidden="1"/>
    <cellStyle name="Hyperlink" xfId="502" builtinId="8" hidden="1"/>
    <cellStyle name="Hyperlink" xfId="504" builtinId="8" hidden="1"/>
    <cellStyle name="Hyperlink" xfId="506" builtinId="8" hidden="1"/>
    <cellStyle name="Hyperlink" xfId="508" builtinId="8" hidden="1"/>
    <cellStyle name="Hyperlink" xfId="510" builtinId="8" hidden="1"/>
    <cellStyle name="Hyperlink" xfId="512" builtinId="8" hidden="1"/>
    <cellStyle name="Hyperlink" xfId="514" builtinId="8" hidden="1"/>
    <cellStyle name="Hyperlink" xfId="516" builtinId="8" hidden="1"/>
    <cellStyle name="Hyperlink" xfId="518" builtinId="8" hidden="1"/>
    <cellStyle name="Hyperlink" xfId="520" builtinId="8" hidden="1"/>
    <cellStyle name="Hyperlink" xfId="522" builtinId="8" hidden="1"/>
    <cellStyle name="Hyperlink" xfId="524" builtinId="8" hidden="1"/>
    <cellStyle name="Hyperlink" xfId="526" builtinId="8" hidden="1"/>
    <cellStyle name="Hyperlink" xfId="528" builtinId="8" hidden="1"/>
    <cellStyle name="Hyperlink" xfId="530" builtinId="8" hidden="1"/>
    <cellStyle name="Hyperlink" xfId="532" builtinId="8" hidden="1"/>
    <cellStyle name="Hyperlink" xfId="534" builtinId="8" hidden="1"/>
    <cellStyle name="Hyperlink 2" xfId="98"/>
    <cellStyle name="Hyperlink 2 2" xfId="99"/>
    <cellStyle name="Hyperlink 2 3" xfId="100"/>
    <cellStyle name="Hyperlink 3" xfId="101"/>
    <cellStyle name="Link Currency (0)" xfId="102"/>
    <cellStyle name="Link Currency (2)" xfId="103"/>
    <cellStyle name="Link Units (0)" xfId="104"/>
    <cellStyle name="Link Units (1)" xfId="105"/>
    <cellStyle name="Link Units (2)" xfId="106"/>
    <cellStyle name="Normal" xfId="0" builtinId="0"/>
    <cellStyle name="Normal - Style1" xfId="107"/>
    <cellStyle name="Normal 2" xfId="67"/>
    <cellStyle name="Normal 2 2" xfId="108"/>
    <cellStyle name="Normal 2 3" xfId="109"/>
    <cellStyle name="Normal 3" xfId="110"/>
    <cellStyle name="Normal 3 2" xfId="111"/>
    <cellStyle name="Normal 4" xfId="112"/>
    <cellStyle name="Normal 5" xfId="113"/>
    <cellStyle name="Normal 6" xfId="114"/>
    <cellStyle name="Normal 7" xfId="115"/>
    <cellStyle name="Normal 8" xfId="116"/>
    <cellStyle name="Normal 9" xfId="117"/>
    <cellStyle name="Percent [0]" xfId="118"/>
    <cellStyle name="Percent [00]" xfId="119"/>
    <cellStyle name="Percent 2" xfId="69"/>
    <cellStyle name="Percent 2 2" xfId="120"/>
    <cellStyle name="Percent 2 3" xfId="121"/>
    <cellStyle name="Percent 3" xfId="122"/>
    <cellStyle name="PrePop Currency (0)" xfId="123"/>
    <cellStyle name="PrePop Currency (2)" xfId="124"/>
    <cellStyle name="PrePop Units (0)" xfId="125"/>
    <cellStyle name="PrePop Units (1)" xfId="126"/>
    <cellStyle name="PrePop Units (2)" xfId="127"/>
    <cellStyle name="Standard_ASCIIausD" xfId="128"/>
    <cellStyle name="Style 1" xfId="129"/>
    <cellStyle name="Text Indent A" xfId="130"/>
    <cellStyle name="Text Indent B" xfId="131"/>
    <cellStyle name="Text Indent C" xfId="132"/>
    <cellStyle name="콤마 [0]_VERA" xfId="133"/>
    <cellStyle name="콤마_VERA" xfId="134"/>
    <cellStyle name="하이퍼링크_VERA" xfId="135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externalLink" Target="externalLinks/externalLink2.xml"/><Relationship Id="rId7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5.xml"/><Relationship Id="rId5" Type="http://schemas.openxmlformats.org/officeDocument/2006/relationships/externalLink" Target="externalLinks/externalLink4.xml"/><Relationship Id="rId10" Type="http://schemas.openxmlformats.org/officeDocument/2006/relationships/calcChain" Target="calcChain.xml"/><Relationship Id="rId4" Type="http://schemas.openxmlformats.org/officeDocument/2006/relationships/externalLink" Target="externalLinks/externalLink3.xml"/><Relationship Id="rId9" Type="http://schemas.openxmlformats.org/officeDocument/2006/relationships/sharedStrings" Target="sharedStrings.xml"/></Relationships>
</file>

<file path=xl/ctrlProps/ctrlProp1.xml><?xml version="1.0" encoding="utf-8"?>
<formControlPr xmlns="http://schemas.microsoft.com/office/spreadsheetml/2009/9/main" objectType="CheckBox" lockText="1" noThreeD="1"/>
</file>

<file path=xl/ctrlProps/ctrlProp2.xml><?xml version="1.0" encoding="utf-8"?>
<formControlPr xmlns="http://schemas.microsoft.com/office/spreadsheetml/2009/9/main" objectType="CheckBox" lockText="1" noThreeD="1"/>
</file>

<file path=xl/ctrlProps/ctrlProp3.xml><?xml version="1.0" encoding="utf-8"?>
<formControlPr xmlns="http://schemas.microsoft.com/office/spreadsheetml/2009/9/main" objectType="CheckBox" lockText="1" noThreeD="1"/>
</file>

<file path=xl/ctrlProps/ctrlProp4.xml><?xml version="1.0" encoding="utf-8"?>
<formControlPr xmlns="http://schemas.microsoft.com/office/spreadsheetml/2009/9/main" objectType="CheckBox" lockText="1" noThreeD="1"/>
</file>

<file path=xl/ctrlProps/ctrlProp5.xml><?xml version="1.0" encoding="utf-8"?>
<formControlPr xmlns="http://schemas.microsoft.com/office/spreadsheetml/2009/9/main" objectType="CheckBox" lockText="1" noThreeD="1"/>
</file>

<file path=xl/ctrlProps/ctrlProp6.xml><?xml version="1.0" encoding="utf-8"?>
<formControlPr xmlns="http://schemas.microsoft.com/office/spreadsheetml/2009/9/main" objectType="CheckBox" lockText="1" noThreeD="1"/>
</file>

<file path=xl/ctrlProps/ctrlProp7.xml><?xml version="1.0" encoding="utf-8"?>
<formControlPr xmlns="http://schemas.microsoft.com/office/spreadsheetml/2009/9/main" objectType="CheckBox" lockText="1" noThreeD="1"/>
</file>

<file path=xl/ctrlProps/ctrlProp8.xml><?xml version="1.0" encoding="utf-8"?>
<formControlPr xmlns="http://schemas.microsoft.com/office/spreadsheetml/2009/9/main" objectType="CheckBox" lockText="1" noThreeD="1"/>
</file>

<file path=xl/ctrlProps/ctrlProp9.xml><?xml version="1.0" encoding="utf-8"?>
<formControlPr xmlns="http://schemas.microsoft.com/office/spreadsheetml/2009/9/main" objectType="CheckBox" lockText="1" noThreeD="1"/>
</file>

<file path=xl/ctrlProps/ctrlProp10.xml><?xml version="1.0" encoding="utf-8"?>
<formControlPr xmlns="http://schemas.microsoft.com/office/spreadsheetml/2009/9/main" objectType="CheckBox" lockText="1" noThreeD="1"/>
</file>

<file path=xl/ctrlProps/ctrlProp11.xml><?xml version="1.0" encoding="utf-8"?>
<formControlPr xmlns="http://schemas.microsoft.com/office/spreadsheetml/2009/9/main" objectType="CheckBox" lockText="1" noThreeD="1"/>
</file>

<file path=xl/ctrlProps/ctrlProp12.xml><?xml version="1.0" encoding="utf-8"?>
<formControlPr xmlns="http://schemas.microsoft.com/office/spreadsheetml/2009/9/main" objectType="CheckBox" lockText="1" noThreeD="1"/>
</file>

<file path=xl/ctrlProps/ctrlProp13.xml><?xml version="1.0" encoding="utf-8"?>
<formControlPr xmlns="http://schemas.microsoft.com/office/spreadsheetml/2009/9/main" objectType="CheckBox" lockText="1" noThreeD="1"/>
</file>

<file path=xl/ctrlProps/ctrlProp14.xml><?xml version="1.0" encoding="utf-8"?>
<formControlPr xmlns="http://schemas.microsoft.com/office/spreadsheetml/2009/9/main" objectType="CheckBox" lockText="1" noThreeD="1"/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6</xdr:col>
      <xdr:colOff>557530</xdr:colOff>
      <xdr:row>0</xdr:row>
      <xdr:rowOff>117051</xdr:rowOff>
    </xdr:from>
    <xdr:to>
      <xdr:col>11</xdr:col>
      <xdr:colOff>714375</xdr:colOff>
      <xdr:row>0</xdr:row>
      <xdr:rowOff>769409</xdr:rowOff>
    </xdr:to>
    <xdr:pic>
      <xdr:nvPicPr>
        <xdr:cNvPr id="6" name="Picture 5"/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319905" y="117051"/>
          <a:ext cx="2795270" cy="652358"/>
        </a:xfrm>
        <a:prstGeom prst="rect">
          <a:avLst/>
        </a:prstGeom>
        <a:ln>
          <a:noFill/>
        </a:ln>
      </xdr:spPr>
    </xdr:pic>
    <xdr:clientData/>
  </xdr:twoCellAnchor>
  <xdr:twoCellAnchor>
    <xdr:from>
      <xdr:col>13</xdr:col>
      <xdr:colOff>15240</xdr:colOff>
      <xdr:row>2</xdr:row>
      <xdr:rowOff>0</xdr:rowOff>
    </xdr:from>
    <xdr:to>
      <xdr:col>20</xdr:col>
      <xdr:colOff>812800</xdr:colOff>
      <xdr:row>16</xdr:row>
      <xdr:rowOff>0</xdr:rowOff>
    </xdr:to>
    <xdr:sp macro="" textlink="">
      <xdr:nvSpPr>
        <xdr:cNvPr id="5" name="TextBox 4"/>
        <xdr:cNvSpPr txBox="1"/>
      </xdr:nvSpPr>
      <xdr:spPr>
        <a:xfrm>
          <a:off x="7614920" y="1178560"/>
          <a:ext cx="6741160" cy="3159760"/>
        </a:xfrm>
        <a:prstGeom prst="rect">
          <a:avLst/>
        </a:prstGeom>
        <a:solidFill>
          <a:schemeClr val="lt1"/>
        </a:solidFill>
        <a:ln w="9525" cmpd="sng">
          <a:solidFill>
            <a:schemeClr val="bg1">
              <a:lumMod val="65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200" b="1" u="sng">
              <a:latin typeface="+mn-lt"/>
              <a:cs typeface="Calibri"/>
            </a:rPr>
            <a:t>Estimate Costs</a:t>
          </a:r>
          <a:endParaRPr lang="en-US" sz="1200" b="1" u="sng" baseline="0">
            <a:latin typeface="+mn-lt"/>
            <a:cs typeface="Calibri"/>
          </a:endParaRPr>
        </a:p>
        <a:p>
          <a:r>
            <a:rPr lang="en-US" sz="1200" b="0" u="none">
              <a:latin typeface="+mn-lt"/>
              <a:cs typeface="Calibri"/>
            </a:rPr>
            <a:t>Pricing will vary based on what type of contractors you get quotes back from. Prices will also vary based on the type materials (low end/high end) you ultimately choose to install. As you start to regularly work with certain contractors you will want to update this repair estimator twice a year based on who you work with and what prices you are able to negotiate. You always want to negotiate quotes you get back and shoot for wholesale pricing.</a:t>
          </a:r>
        </a:p>
        <a:p>
          <a:endParaRPr lang="en-US" sz="1200" b="0" u="none">
            <a:latin typeface="+mn-lt"/>
            <a:cs typeface="Calibri"/>
          </a:endParaRPr>
        </a:p>
        <a:p>
          <a:r>
            <a:rPr lang="en-US" sz="1200" b="1" u="sng">
              <a:latin typeface="+mn-lt"/>
              <a:cs typeface="Calibri"/>
            </a:rPr>
            <a:t>Customizing</a:t>
          </a:r>
          <a:r>
            <a:rPr lang="en-US" sz="1200" b="1" u="sng" baseline="0">
              <a:latin typeface="+mn-lt"/>
              <a:cs typeface="Calibri"/>
            </a:rPr>
            <a:t> the Repair Estimator</a:t>
          </a:r>
          <a:endParaRPr lang="en-US" sz="1200" b="1" u="sng">
            <a:latin typeface="+mn-lt"/>
            <a:cs typeface="Calibri"/>
          </a:endParaRPr>
        </a:p>
        <a:p>
          <a:r>
            <a:rPr lang="en-US" sz="1200" b="0" u="none">
              <a:latin typeface="+mn-lt"/>
              <a:cs typeface="Calibri"/>
            </a:rPr>
            <a:t>This worksheet is locked to protect the</a:t>
          </a:r>
          <a:r>
            <a:rPr lang="en-US" sz="1200" b="0" u="none" baseline="0">
              <a:latin typeface="+mn-lt"/>
              <a:cs typeface="Calibri"/>
            </a:rPr>
            <a:t> formulas and </a:t>
          </a:r>
          <a:r>
            <a:rPr lang="en-US" sz="1200" b="0" u="none">
              <a:latin typeface="+mn-lt"/>
              <a:cs typeface="Calibri"/>
            </a:rPr>
            <a:t>printer-friendly formatting.</a:t>
          </a:r>
          <a:r>
            <a:rPr lang="en-US" sz="1200" b="0" u="none" baseline="0">
              <a:latin typeface="+mn-lt"/>
              <a:cs typeface="Calibri"/>
            </a:rPr>
            <a:t>  To customize the worksheet you can easily unprotect the document by going to Review &gt; Unprotect Sheet.</a:t>
          </a:r>
        </a:p>
        <a:p>
          <a:endParaRPr lang="en-US" sz="1200" b="0" u="none" baseline="0">
            <a:latin typeface="+mn-lt"/>
            <a:cs typeface="Calibri"/>
          </a:endParaRPr>
        </a:p>
        <a:p>
          <a:r>
            <a:rPr lang="en-US" sz="1200" b="0" u="none" baseline="0">
              <a:latin typeface="+mn-lt"/>
              <a:cs typeface="Calibri"/>
            </a:rPr>
            <a:t>To rebrand the worksheet with your logo, right click the FB logo and select "Change Picture...". </a:t>
          </a:r>
        </a:p>
        <a:p>
          <a:endParaRPr lang="en-US" sz="1200" b="0" u="none">
            <a:latin typeface="+mn-lt"/>
            <a:cs typeface="Calibri"/>
          </a:endParaRPr>
        </a:p>
        <a:p>
          <a:r>
            <a:rPr lang="en-US" sz="1200" b="1" u="sng">
              <a:latin typeface="+mn-lt"/>
              <a:cs typeface="Calibri"/>
            </a:rPr>
            <a:t>Unit Abbreviations</a:t>
          </a:r>
        </a:p>
        <a:p>
          <a:r>
            <a:rPr lang="en-US" sz="1200" b="0" u="none">
              <a:latin typeface="+mn-lt"/>
              <a:cs typeface="Calibri"/>
            </a:rPr>
            <a:t>ea = each | lf = linear feet | ls = lump sum | sf = square feet | sy = square yards</a:t>
          </a:r>
        </a:p>
        <a:p>
          <a:endParaRPr lang="en-US" sz="1200" b="0" u="none">
            <a:latin typeface="+mn-lt"/>
            <a:cs typeface="Calibri"/>
          </a:endParaRPr>
        </a:p>
        <a:p>
          <a:endParaRPr lang="en-US" sz="1200" b="0" u="none">
            <a:latin typeface="+mn-lt"/>
            <a:cs typeface="Calibri"/>
          </a:endParaRPr>
        </a:p>
      </xdr:txBody>
    </xdr:sp>
    <xdr:clientData/>
  </xdr:two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295275</xdr:colOff>
          <xdr:row>5</xdr:row>
          <xdr:rowOff>9525</xdr:rowOff>
        </xdr:from>
        <xdr:to>
          <xdr:col>1</xdr:col>
          <xdr:colOff>47625</xdr:colOff>
          <xdr:row>5</xdr:row>
          <xdr:rowOff>238125</xdr:rowOff>
        </xdr:to>
        <xdr:sp macro="" textlink="">
          <xdr:nvSpPr>
            <xdr:cNvPr id="1043" name="Check Box 19" hidden="1">
              <a:extLst>
                <a:ext uri="{63B3BB69-23CF-44E3-9099-C40C66FF867C}">
                  <a14:compatExt spid="_x0000_s1043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xdr:oneCellAnchor>
    <xdr:from>
      <xdr:col>0</xdr:col>
      <xdr:colOff>548640</xdr:colOff>
      <xdr:row>5</xdr:row>
      <xdr:rowOff>48334</xdr:rowOff>
    </xdr:from>
    <xdr:ext cx="751840" cy="153888"/>
    <xdr:sp macro="" textlink="">
      <xdr:nvSpPr>
        <xdr:cNvPr id="25" name="TextBox 24"/>
        <xdr:cNvSpPr txBox="1"/>
      </xdr:nvSpPr>
      <xdr:spPr>
        <a:xfrm>
          <a:off x="548640" y="2100654"/>
          <a:ext cx="751840" cy="153888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lIns="2" tIns="0" rIns="0" bIns="0" rtlCol="0" anchor="ctr" anchorCtr="0">
          <a:spAutoFit/>
        </a:bodyPr>
        <a:lstStyle/>
        <a:p>
          <a:r>
            <a:rPr lang="en-US" sz="1000"/>
            <a:t>Mold</a:t>
          </a:r>
        </a:p>
      </xdr:txBody>
    </xdr:sp>
    <xdr:clientData/>
  </xdr:one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333375</xdr:colOff>
          <xdr:row>5</xdr:row>
          <xdr:rowOff>9525</xdr:rowOff>
        </xdr:from>
        <xdr:to>
          <xdr:col>2</xdr:col>
          <xdr:colOff>104775</xdr:colOff>
          <xdr:row>5</xdr:row>
          <xdr:rowOff>238125</xdr:rowOff>
        </xdr:to>
        <xdr:sp macro="" textlink="">
          <xdr:nvSpPr>
            <xdr:cNvPr id="1062" name="Check Box 38" hidden="1">
              <a:extLst>
                <a:ext uri="{63B3BB69-23CF-44E3-9099-C40C66FF867C}">
                  <a14:compatExt spid="_x0000_s1062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xdr:oneCellAnchor>
    <xdr:from>
      <xdr:col>1</xdr:col>
      <xdr:colOff>589280</xdr:colOff>
      <xdr:row>5</xdr:row>
      <xdr:rowOff>48334</xdr:rowOff>
    </xdr:from>
    <xdr:ext cx="751840" cy="153888"/>
    <xdr:sp macro="" textlink="">
      <xdr:nvSpPr>
        <xdr:cNvPr id="40" name="TextBox 39"/>
        <xdr:cNvSpPr txBox="1"/>
      </xdr:nvSpPr>
      <xdr:spPr>
        <a:xfrm>
          <a:off x="1229360" y="2100654"/>
          <a:ext cx="751840" cy="153888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lIns="2" tIns="0" rIns="0" bIns="0" rtlCol="0" anchor="ctr" anchorCtr="0">
          <a:spAutoFit/>
        </a:bodyPr>
        <a:lstStyle/>
        <a:p>
          <a:r>
            <a:rPr lang="en-US" sz="1000"/>
            <a:t>Permit Check</a:t>
          </a:r>
        </a:p>
      </xdr:txBody>
    </xdr:sp>
    <xdr:clientData/>
  </xdr:one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381000</xdr:colOff>
          <xdr:row>5</xdr:row>
          <xdr:rowOff>9525</xdr:rowOff>
        </xdr:from>
        <xdr:to>
          <xdr:col>4</xdr:col>
          <xdr:colOff>190500</xdr:colOff>
          <xdr:row>5</xdr:row>
          <xdr:rowOff>238125</xdr:rowOff>
        </xdr:to>
        <xdr:sp macro="" textlink="">
          <xdr:nvSpPr>
            <xdr:cNvPr id="1102" name="Check Box 78" hidden="1">
              <a:extLst>
                <a:ext uri="{63B3BB69-23CF-44E3-9099-C40C66FF867C}">
                  <a14:compatExt spid="_x0000_s1102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xdr:oneCellAnchor>
    <xdr:from>
      <xdr:col>4</xdr:col>
      <xdr:colOff>71120</xdr:colOff>
      <xdr:row>5</xdr:row>
      <xdr:rowOff>48334</xdr:rowOff>
    </xdr:from>
    <xdr:ext cx="751840" cy="153888"/>
    <xdr:sp macro="" textlink="">
      <xdr:nvSpPr>
        <xdr:cNvPr id="58" name="TextBox 57"/>
        <xdr:cNvSpPr txBox="1"/>
      </xdr:nvSpPr>
      <xdr:spPr>
        <a:xfrm>
          <a:off x="2326640" y="2100654"/>
          <a:ext cx="751840" cy="153888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lIns="2" tIns="0" rIns="0" bIns="0" rtlCol="0" anchor="ctr" anchorCtr="0">
          <a:spAutoFit/>
        </a:bodyPr>
        <a:lstStyle/>
        <a:p>
          <a:r>
            <a:rPr lang="en-US" sz="1000"/>
            <a:t>Pool</a:t>
          </a:r>
        </a:p>
      </xdr:txBody>
    </xdr:sp>
    <xdr:clientData/>
  </xdr:one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485775</xdr:colOff>
          <xdr:row>5</xdr:row>
          <xdr:rowOff>9525</xdr:rowOff>
        </xdr:from>
        <xdr:to>
          <xdr:col>4</xdr:col>
          <xdr:colOff>876300</xdr:colOff>
          <xdr:row>5</xdr:row>
          <xdr:rowOff>238125</xdr:rowOff>
        </xdr:to>
        <xdr:sp macro="" textlink="">
          <xdr:nvSpPr>
            <xdr:cNvPr id="1104" name="Check Box 80" hidden="1">
              <a:extLst>
                <a:ext uri="{63B3BB69-23CF-44E3-9099-C40C66FF867C}">
                  <a14:compatExt spid="_x0000_s1104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xdr:oneCellAnchor>
    <xdr:from>
      <xdr:col>4</xdr:col>
      <xdr:colOff>751840</xdr:colOff>
      <xdr:row>5</xdr:row>
      <xdr:rowOff>48334</xdr:rowOff>
    </xdr:from>
    <xdr:ext cx="751840" cy="153888"/>
    <xdr:sp macro="" textlink="">
      <xdr:nvSpPr>
        <xdr:cNvPr id="60" name="TextBox 59"/>
        <xdr:cNvSpPr txBox="1"/>
      </xdr:nvSpPr>
      <xdr:spPr>
        <a:xfrm>
          <a:off x="3007360" y="2100654"/>
          <a:ext cx="751840" cy="153888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lIns="2" tIns="0" rIns="0" bIns="0" rtlCol="0" anchor="ctr" anchorCtr="0">
          <a:spAutoFit/>
        </a:bodyPr>
        <a:lstStyle/>
        <a:p>
          <a:r>
            <a:rPr lang="en-US" sz="1000"/>
            <a:t>Roof</a:t>
          </a:r>
        </a:p>
      </xdr:txBody>
    </xdr:sp>
    <xdr:clientData/>
  </xdr:one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180975</xdr:colOff>
          <xdr:row>5</xdr:row>
          <xdr:rowOff>9525</xdr:rowOff>
        </xdr:from>
        <xdr:to>
          <xdr:col>5</xdr:col>
          <xdr:colOff>571500</xdr:colOff>
          <xdr:row>5</xdr:row>
          <xdr:rowOff>238125</xdr:rowOff>
        </xdr:to>
        <xdr:sp macro="" textlink="">
          <xdr:nvSpPr>
            <xdr:cNvPr id="1108" name="Check Box 84" hidden="1">
              <a:extLst>
                <a:ext uri="{63B3BB69-23CF-44E3-9099-C40C66FF867C}">
                  <a14:compatExt spid="_x0000_s1108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xdr:oneCellAnchor>
    <xdr:from>
      <xdr:col>5</xdr:col>
      <xdr:colOff>467360</xdr:colOff>
      <xdr:row>5</xdr:row>
      <xdr:rowOff>48334</xdr:rowOff>
    </xdr:from>
    <xdr:ext cx="751840" cy="153888"/>
    <xdr:sp macro="" textlink="">
      <xdr:nvSpPr>
        <xdr:cNvPr id="62" name="TextBox 61"/>
        <xdr:cNvSpPr txBox="1"/>
      </xdr:nvSpPr>
      <xdr:spPr>
        <a:xfrm>
          <a:off x="3718560" y="2100654"/>
          <a:ext cx="751840" cy="153888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lIns="2" tIns="0" rIns="0" bIns="0" rtlCol="0" anchor="ctr" anchorCtr="0">
          <a:spAutoFit/>
        </a:bodyPr>
        <a:lstStyle/>
        <a:p>
          <a:r>
            <a:rPr lang="en-US" sz="1000"/>
            <a:t>Septic</a:t>
          </a:r>
          <a:r>
            <a:rPr lang="en-US" sz="1000" baseline="0"/>
            <a:t> System</a:t>
          </a:r>
          <a:endParaRPr lang="en-US" sz="1000"/>
        </a:p>
      </xdr:txBody>
    </xdr:sp>
    <xdr:clientData/>
  </xdr:one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733425</xdr:colOff>
          <xdr:row>5</xdr:row>
          <xdr:rowOff>9525</xdr:rowOff>
        </xdr:from>
        <xdr:to>
          <xdr:col>7</xdr:col>
          <xdr:colOff>142875</xdr:colOff>
          <xdr:row>5</xdr:row>
          <xdr:rowOff>238125</xdr:rowOff>
        </xdr:to>
        <xdr:sp macro="" textlink="">
          <xdr:nvSpPr>
            <xdr:cNvPr id="1111" name="Check Box 87" hidden="1">
              <a:extLst>
                <a:ext uri="{63B3BB69-23CF-44E3-9099-C40C66FF867C}">
                  <a14:compatExt spid="_x0000_s1111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xdr:oneCellAnchor>
    <xdr:from>
      <xdr:col>7</xdr:col>
      <xdr:colOff>20320</xdr:colOff>
      <xdr:row>5</xdr:row>
      <xdr:rowOff>48334</xdr:rowOff>
    </xdr:from>
    <xdr:ext cx="863600" cy="153888"/>
    <xdr:sp macro="" textlink="">
      <xdr:nvSpPr>
        <xdr:cNvPr id="64" name="TextBox 63"/>
        <xdr:cNvSpPr txBox="1"/>
      </xdr:nvSpPr>
      <xdr:spPr>
        <a:xfrm>
          <a:off x="4856480" y="2100654"/>
          <a:ext cx="863600" cy="153888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lIns="2" tIns="0" rIns="0" bIns="0" rtlCol="0" anchor="ctr" anchorCtr="0">
          <a:spAutoFit/>
        </a:bodyPr>
        <a:lstStyle/>
        <a:p>
          <a:r>
            <a:rPr lang="en-US" sz="1000"/>
            <a:t>Sewer</a:t>
          </a:r>
          <a:r>
            <a:rPr lang="en-US" sz="1000" baseline="0"/>
            <a:t> to Street</a:t>
          </a:r>
          <a:endParaRPr lang="en-US" sz="1000"/>
        </a:p>
      </xdr:txBody>
    </xdr:sp>
    <xdr:clientData/>
  </xdr:one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333375</xdr:colOff>
          <xdr:row>5</xdr:row>
          <xdr:rowOff>9525</xdr:rowOff>
        </xdr:from>
        <xdr:to>
          <xdr:col>10</xdr:col>
          <xdr:colOff>333375</xdr:colOff>
          <xdr:row>5</xdr:row>
          <xdr:rowOff>238125</xdr:rowOff>
        </xdr:to>
        <xdr:sp macro="" textlink="">
          <xdr:nvSpPr>
            <xdr:cNvPr id="1114" name="Check Box 90" hidden="1">
              <a:extLst>
                <a:ext uri="{63B3BB69-23CF-44E3-9099-C40C66FF867C}">
                  <a14:compatExt spid="_x0000_s1114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xdr:oneCellAnchor>
    <xdr:from>
      <xdr:col>10</xdr:col>
      <xdr:colOff>213360</xdr:colOff>
      <xdr:row>5</xdr:row>
      <xdr:rowOff>48334</xdr:rowOff>
    </xdr:from>
    <xdr:ext cx="320040" cy="153888"/>
    <xdr:sp macro="" textlink="">
      <xdr:nvSpPr>
        <xdr:cNvPr id="66" name="TextBox 65"/>
        <xdr:cNvSpPr txBox="1"/>
      </xdr:nvSpPr>
      <xdr:spPr>
        <a:xfrm>
          <a:off x="6055360" y="2100654"/>
          <a:ext cx="320040" cy="153888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lIns="2" tIns="0" rIns="0" bIns="0" rtlCol="0" anchor="ctr" anchorCtr="0">
          <a:spAutoFit/>
        </a:bodyPr>
        <a:lstStyle/>
        <a:p>
          <a:r>
            <a:rPr lang="en-US" sz="1000"/>
            <a:t>Soil</a:t>
          </a:r>
        </a:p>
      </xdr:txBody>
    </xdr:sp>
    <xdr:clientData/>
  </xdr:one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10</xdr:col>
          <xdr:colOff>581025</xdr:colOff>
          <xdr:row>5</xdr:row>
          <xdr:rowOff>9525</xdr:rowOff>
        </xdr:from>
        <xdr:to>
          <xdr:col>11</xdr:col>
          <xdr:colOff>257175</xdr:colOff>
          <xdr:row>5</xdr:row>
          <xdr:rowOff>238125</xdr:rowOff>
        </xdr:to>
        <xdr:sp macro="" textlink="">
          <xdr:nvSpPr>
            <xdr:cNvPr id="1117" name="Check Box 93" hidden="1">
              <a:extLst>
                <a:ext uri="{63B3BB69-23CF-44E3-9099-C40C66FF867C}">
                  <a14:compatExt spid="_x0000_s1117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xdr:oneCellAnchor>
    <xdr:from>
      <xdr:col>11</xdr:col>
      <xdr:colOff>101600</xdr:colOff>
      <xdr:row>5</xdr:row>
      <xdr:rowOff>48334</xdr:rowOff>
    </xdr:from>
    <xdr:ext cx="320040" cy="153888"/>
    <xdr:sp macro="" textlink="">
      <xdr:nvSpPr>
        <xdr:cNvPr id="68" name="TextBox 67"/>
        <xdr:cNvSpPr txBox="1"/>
      </xdr:nvSpPr>
      <xdr:spPr>
        <a:xfrm>
          <a:off x="6695440" y="2100654"/>
          <a:ext cx="320040" cy="153888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lIns="2" tIns="0" rIns="0" bIns="0" rtlCol="0" anchor="ctr" anchorCtr="0">
          <a:spAutoFit/>
        </a:bodyPr>
        <a:lstStyle/>
        <a:p>
          <a:r>
            <a:rPr lang="en-US" sz="1000"/>
            <a:t>Well</a:t>
          </a:r>
        </a:p>
      </xdr:txBody>
    </xdr:sp>
    <xdr:clientData/>
  </xdr:one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219075</xdr:colOff>
          <xdr:row>4</xdr:row>
          <xdr:rowOff>9525</xdr:rowOff>
        </xdr:from>
        <xdr:to>
          <xdr:col>0</xdr:col>
          <xdr:colOff>609600</xdr:colOff>
          <xdr:row>4</xdr:row>
          <xdr:rowOff>238125</xdr:rowOff>
        </xdr:to>
        <xdr:sp macro="" textlink="">
          <xdr:nvSpPr>
            <xdr:cNvPr id="1120" name="Check Box 96" hidden="1">
              <a:extLst>
                <a:ext uri="{63B3BB69-23CF-44E3-9099-C40C66FF867C}">
                  <a14:compatExt spid="_x0000_s1120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xdr:oneCellAnchor>
    <xdr:from>
      <xdr:col>0</xdr:col>
      <xdr:colOff>487680</xdr:colOff>
      <xdr:row>4</xdr:row>
      <xdr:rowOff>48334</xdr:rowOff>
    </xdr:from>
    <xdr:ext cx="751840" cy="153888"/>
    <xdr:sp macro="" textlink="">
      <xdr:nvSpPr>
        <xdr:cNvPr id="70" name="TextBox 69"/>
        <xdr:cNvSpPr txBox="1"/>
      </xdr:nvSpPr>
      <xdr:spPr>
        <a:xfrm>
          <a:off x="487680" y="1846654"/>
          <a:ext cx="751840" cy="153888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lIns="2" tIns="0" rIns="0" bIns="0" rtlCol="0" anchor="ctr" anchorCtr="0">
          <a:spAutoFit/>
        </a:bodyPr>
        <a:lstStyle/>
        <a:p>
          <a:r>
            <a:rPr lang="en-US" sz="1000"/>
            <a:t>Asbestos</a:t>
          </a:r>
        </a:p>
      </xdr:txBody>
    </xdr:sp>
    <xdr:clientData/>
  </xdr:one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466725</xdr:colOff>
          <xdr:row>4</xdr:row>
          <xdr:rowOff>9525</xdr:rowOff>
        </xdr:from>
        <xdr:to>
          <xdr:col>2</xdr:col>
          <xdr:colOff>238125</xdr:colOff>
          <xdr:row>4</xdr:row>
          <xdr:rowOff>238125</xdr:rowOff>
        </xdr:to>
        <xdr:sp macro="" textlink="">
          <xdr:nvSpPr>
            <xdr:cNvPr id="1124" name="Check Box 100" hidden="1">
              <a:extLst>
                <a:ext uri="{63B3BB69-23CF-44E3-9099-C40C66FF867C}">
                  <a14:compatExt spid="_x0000_s1124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xdr:oneCellAnchor>
    <xdr:from>
      <xdr:col>2</xdr:col>
      <xdr:colOff>101600</xdr:colOff>
      <xdr:row>4</xdr:row>
      <xdr:rowOff>48334</xdr:rowOff>
    </xdr:from>
    <xdr:ext cx="873760" cy="153888"/>
    <xdr:sp macro="" textlink="">
      <xdr:nvSpPr>
        <xdr:cNvPr id="72" name="TextBox 71"/>
        <xdr:cNvSpPr txBox="1"/>
      </xdr:nvSpPr>
      <xdr:spPr>
        <a:xfrm>
          <a:off x="1381760" y="1846654"/>
          <a:ext cx="873760" cy="153888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lIns="2" tIns="0" rIns="0" bIns="0" rtlCol="0" anchor="ctr" anchorCtr="0">
          <a:spAutoFit/>
        </a:bodyPr>
        <a:lstStyle/>
        <a:p>
          <a:r>
            <a:rPr lang="en-US" sz="1000"/>
            <a:t>Buried Oil Tank</a:t>
          </a:r>
        </a:p>
      </xdr:txBody>
    </xdr:sp>
    <xdr:clientData/>
  </xdr:one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28575</xdr:colOff>
          <xdr:row>4</xdr:row>
          <xdr:rowOff>9525</xdr:rowOff>
        </xdr:from>
        <xdr:to>
          <xdr:col>4</xdr:col>
          <xdr:colOff>419100</xdr:colOff>
          <xdr:row>4</xdr:row>
          <xdr:rowOff>238125</xdr:rowOff>
        </xdr:to>
        <xdr:sp macro="" textlink="">
          <xdr:nvSpPr>
            <xdr:cNvPr id="1128" name="Check Box 104" hidden="1">
              <a:extLst>
                <a:ext uri="{63B3BB69-23CF-44E3-9099-C40C66FF867C}">
                  <a14:compatExt spid="_x0000_s1128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xdr:oneCellAnchor>
    <xdr:from>
      <xdr:col>4</xdr:col>
      <xdr:colOff>284480</xdr:colOff>
      <xdr:row>4</xdr:row>
      <xdr:rowOff>48334</xdr:rowOff>
    </xdr:from>
    <xdr:ext cx="751840" cy="153888"/>
    <xdr:sp macro="" textlink="">
      <xdr:nvSpPr>
        <xdr:cNvPr id="74" name="TextBox 73"/>
        <xdr:cNvSpPr txBox="1"/>
      </xdr:nvSpPr>
      <xdr:spPr>
        <a:xfrm>
          <a:off x="2540000" y="1846654"/>
          <a:ext cx="751840" cy="153888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lIns="2" tIns="0" rIns="0" bIns="0" rtlCol="0" anchor="ctr" anchorCtr="0">
          <a:spAutoFit/>
        </a:bodyPr>
        <a:lstStyle/>
        <a:p>
          <a:r>
            <a:rPr lang="en-US" sz="1000"/>
            <a:t>Fire Damage</a:t>
          </a:r>
        </a:p>
      </xdr:txBody>
    </xdr:sp>
    <xdr:clientData/>
  </xdr:one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47625</xdr:colOff>
          <xdr:row>4</xdr:row>
          <xdr:rowOff>9525</xdr:rowOff>
        </xdr:from>
        <xdr:to>
          <xdr:col>5</xdr:col>
          <xdr:colOff>447675</xdr:colOff>
          <xdr:row>4</xdr:row>
          <xdr:rowOff>238125</xdr:rowOff>
        </xdr:to>
        <xdr:sp macro="" textlink="">
          <xdr:nvSpPr>
            <xdr:cNvPr id="1132" name="Check Box 108" hidden="1">
              <a:extLst>
                <a:ext uri="{63B3BB69-23CF-44E3-9099-C40C66FF867C}">
                  <a14:compatExt spid="_x0000_s1132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xdr:oneCellAnchor>
    <xdr:from>
      <xdr:col>5</xdr:col>
      <xdr:colOff>325120</xdr:colOff>
      <xdr:row>4</xdr:row>
      <xdr:rowOff>48334</xdr:rowOff>
    </xdr:from>
    <xdr:ext cx="1178560" cy="153888"/>
    <xdr:sp macro="" textlink="">
      <xdr:nvSpPr>
        <xdr:cNvPr id="76" name="TextBox 75"/>
        <xdr:cNvSpPr txBox="1"/>
      </xdr:nvSpPr>
      <xdr:spPr>
        <a:xfrm>
          <a:off x="3576320" y="1846654"/>
          <a:ext cx="1178560" cy="153888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lIns="2" tIns="0" rIns="0" bIns="0" rtlCol="0" anchor="ctr" anchorCtr="0">
          <a:spAutoFit/>
        </a:bodyPr>
        <a:lstStyle/>
        <a:p>
          <a:r>
            <a:rPr lang="en-US" sz="1000"/>
            <a:t>Foundation/Structural</a:t>
          </a:r>
        </a:p>
      </xdr:txBody>
    </xdr:sp>
    <xdr:clientData/>
  </xdr:one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7</xdr:col>
          <xdr:colOff>38100</xdr:colOff>
          <xdr:row>4</xdr:row>
          <xdr:rowOff>9525</xdr:rowOff>
        </xdr:from>
        <xdr:to>
          <xdr:col>8</xdr:col>
          <xdr:colOff>238125</xdr:colOff>
          <xdr:row>4</xdr:row>
          <xdr:rowOff>238125</xdr:rowOff>
        </xdr:to>
        <xdr:sp macro="" textlink="">
          <xdr:nvSpPr>
            <xdr:cNvPr id="1136" name="Check Box 112" hidden="1">
              <a:extLst>
                <a:ext uri="{63B3BB69-23CF-44E3-9099-C40C66FF867C}">
                  <a14:compatExt spid="_x0000_s1136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xdr:oneCellAnchor>
    <xdr:from>
      <xdr:col>8</xdr:col>
      <xdr:colOff>81280</xdr:colOff>
      <xdr:row>4</xdr:row>
      <xdr:rowOff>48334</xdr:rowOff>
    </xdr:from>
    <xdr:ext cx="894080" cy="153888"/>
    <xdr:sp macro="" textlink="">
      <xdr:nvSpPr>
        <xdr:cNvPr id="78" name="TextBox 77"/>
        <xdr:cNvSpPr txBox="1"/>
      </xdr:nvSpPr>
      <xdr:spPr>
        <a:xfrm>
          <a:off x="5151120" y="1846654"/>
          <a:ext cx="894080" cy="153888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lIns="2" tIns="0" rIns="0" bIns="0" rtlCol="0" anchor="ctr" anchorCtr="0">
          <a:spAutoFit/>
        </a:bodyPr>
        <a:lstStyle/>
        <a:p>
          <a:r>
            <a:rPr lang="en-US" sz="1000"/>
            <a:t>Historical Home</a:t>
          </a:r>
        </a:p>
      </xdr:txBody>
    </xdr:sp>
    <xdr:clientData/>
  </xdr:one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10</xdr:col>
          <xdr:colOff>333375</xdr:colOff>
          <xdr:row>4</xdr:row>
          <xdr:rowOff>9525</xdr:rowOff>
        </xdr:from>
        <xdr:to>
          <xdr:col>11</xdr:col>
          <xdr:colOff>0</xdr:colOff>
          <xdr:row>4</xdr:row>
          <xdr:rowOff>238125</xdr:rowOff>
        </xdr:to>
        <xdr:sp macro="" textlink="">
          <xdr:nvSpPr>
            <xdr:cNvPr id="1140" name="Check Box 116" hidden="1">
              <a:extLst>
                <a:ext uri="{63B3BB69-23CF-44E3-9099-C40C66FF867C}">
                  <a14:compatExt spid="_x0000_s1140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xdr:oneCellAnchor>
    <xdr:from>
      <xdr:col>10</xdr:col>
      <xdr:colOff>599440</xdr:colOff>
      <xdr:row>4</xdr:row>
      <xdr:rowOff>48334</xdr:rowOff>
    </xdr:from>
    <xdr:ext cx="751840" cy="153888"/>
    <xdr:sp macro="" textlink="">
      <xdr:nvSpPr>
        <xdr:cNvPr id="80" name="TextBox 79"/>
        <xdr:cNvSpPr txBox="1"/>
      </xdr:nvSpPr>
      <xdr:spPr>
        <a:xfrm>
          <a:off x="6441440" y="1846654"/>
          <a:ext cx="751840" cy="153888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lIns="2" tIns="0" rIns="0" bIns="0" rtlCol="0" anchor="ctr" anchorCtr="0">
          <a:spAutoFit/>
        </a:bodyPr>
        <a:lstStyle/>
        <a:p>
          <a:r>
            <a:rPr lang="en-US" sz="1000"/>
            <a:t>Lead Paint</a:t>
          </a:r>
        </a:p>
      </xdr:txBody>
    </xdr:sp>
    <xdr:clientData/>
  </xdr:one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TedMC/Library/Application%20Support/Microsoft/Office/Office%202011%20AutoRecovery/Product%20plan%202009-10-12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/Applications/Microsoft%20Office%202011/Microsoft%20Excel.app/Contents/MacOS/Project%20Management.xls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TedMC/Library/Application%20Support/Microsoft/Office/Office%202011%20AutoRecovery/RealeFlow%20Roadmap%20Aug-13%20V2.xlsx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Aileron/Library/Application%20Support/Microsoft/Office/Office%202011%20AutoRecovery/FortuneBuilders/Atlas%20Operational%20Plan.xls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openxmlformats.org/officeDocument/2006/relationships/externalLinkPath" Target="/Temp/MeghanandSuratkal/Temporary%20Internet%20Files/OLKB/GCS_Release_Management_Plan_2008%2011%200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roject List"/>
    </sheetNames>
    <sheetDataSet>
      <sheetData sheetId="0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Lookup"/>
    </sheetNames>
    <sheetDataSet>
      <sheetData sheetId="0" refreshError="1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Holidays"/>
    </sheetNames>
    <sheetDataSet>
      <sheetData sheetId="0" refreshError="1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Open Issues"/>
    </sheetNames>
    <sheetDataSet>
      <sheetData sheetId="0" refreshError="1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ite Release Action Items List"/>
    </sheetNames>
    <sheetDataSet>
      <sheetData sheetId="0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ctrlProp" Target="../ctrlProps/ctrlProp6.xml"/><Relationship Id="rId13" Type="http://schemas.openxmlformats.org/officeDocument/2006/relationships/ctrlProp" Target="../ctrlProps/ctrlProp11.xml"/><Relationship Id="rId3" Type="http://schemas.openxmlformats.org/officeDocument/2006/relationships/ctrlProp" Target="../ctrlProps/ctrlProp1.xml"/><Relationship Id="rId7" Type="http://schemas.openxmlformats.org/officeDocument/2006/relationships/ctrlProp" Target="../ctrlProps/ctrlProp5.xml"/><Relationship Id="rId12" Type="http://schemas.openxmlformats.org/officeDocument/2006/relationships/ctrlProp" Target="../ctrlProps/ctrlProp10.xml"/><Relationship Id="rId2" Type="http://schemas.openxmlformats.org/officeDocument/2006/relationships/vmlDrawing" Target="../drawings/vmlDrawing1.vml"/><Relationship Id="rId16" Type="http://schemas.openxmlformats.org/officeDocument/2006/relationships/ctrlProp" Target="../ctrlProps/ctrlProp14.xml"/><Relationship Id="rId1" Type="http://schemas.openxmlformats.org/officeDocument/2006/relationships/drawing" Target="../drawings/drawing1.xml"/><Relationship Id="rId6" Type="http://schemas.openxmlformats.org/officeDocument/2006/relationships/ctrlProp" Target="../ctrlProps/ctrlProp4.xml"/><Relationship Id="rId11" Type="http://schemas.openxmlformats.org/officeDocument/2006/relationships/ctrlProp" Target="../ctrlProps/ctrlProp9.xml"/><Relationship Id="rId5" Type="http://schemas.openxmlformats.org/officeDocument/2006/relationships/ctrlProp" Target="../ctrlProps/ctrlProp3.xml"/><Relationship Id="rId15" Type="http://schemas.openxmlformats.org/officeDocument/2006/relationships/ctrlProp" Target="../ctrlProps/ctrlProp13.xml"/><Relationship Id="rId10" Type="http://schemas.openxmlformats.org/officeDocument/2006/relationships/ctrlProp" Target="../ctrlProps/ctrlProp8.xml"/><Relationship Id="rId4" Type="http://schemas.openxmlformats.org/officeDocument/2006/relationships/ctrlProp" Target="../ctrlProps/ctrlProp2.xml"/><Relationship Id="rId9" Type="http://schemas.openxmlformats.org/officeDocument/2006/relationships/ctrlProp" Target="../ctrlProps/ctrlProp7.xml"/><Relationship Id="rId14" Type="http://schemas.openxmlformats.org/officeDocument/2006/relationships/ctrlProp" Target="../ctrlProps/ctrlProp12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 codeName="Sheet1"/>
  <dimension ref="A1:AB302"/>
  <sheetViews>
    <sheetView showGridLines="0" showZeros="0" tabSelected="1" workbookViewId="0">
      <selection activeCell="N1" sqref="N1"/>
    </sheetView>
  </sheetViews>
  <sheetFormatPr defaultColWidth="10.875" defaultRowHeight="15.75" x14ac:dyDescent="0.25"/>
  <cols>
    <col min="1" max="1" width="8.375" style="53" customWidth="1"/>
    <col min="2" max="2" width="8.125" style="3" customWidth="1"/>
    <col min="3" max="3" width="4.625" style="3" customWidth="1"/>
    <col min="4" max="4" width="7.625" style="3" customWidth="1"/>
    <col min="5" max="5" width="13" style="3" customWidth="1"/>
    <col min="6" max="6" width="7.625" style="3" customWidth="1"/>
    <col min="7" max="7" width="13" style="3" customWidth="1"/>
    <col min="8" max="8" width="2.5" style="3" customWidth="1"/>
    <col min="9" max="9" width="4.625" style="3" customWidth="1"/>
    <col min="10" max="10" width="5" style="3" customWidth="1"/>
    <col min="11" max="12" width="9.5" style="3" customWidth="1"/>
    <col min="13" max="13" width="3.375" style="3" customWidth="1"/>
    <col min="14" max="19" width="11.125" style="73" customWidth="1"/>
    <col min="20" max="22" width="10.875" style="73"/>
    <col min="23" max="16384" width="10.875" style="12"/>
  </cols>
  <sheetData>
    <row r="1" spans="1:22" ht="69" customHeight="1" x14ac:dyDescent="0.25">
      <c r="A1" s="1" t="s">
        <v>215</v>
      </c>
      <c r="B1" s="1"/>
      <c r="C1" s="2"/>
      <c r="D1" s="2"/>
      <c r="E1" s="2"/>
      <c r="F1" s="2"/>
      <c r="G1" s="2"/>
      <c r="H1" s="2"/>
      <c r="I1" s="2"/>
      <c r="J1" s="2"/>
      <c r="K1" s="2"/>
      <c r="L1" s="2"/>
    </row>
    <row r="2" spans="1:22" ht="24" customHeight="1" x14ac:dyDescent="0.3">
      <c r="A2" s="87" t="s">
        <v>235</v>
      </c>
      <c r="B2" s="181" t="s">
        <v>263</v>
      </c>
      <c r="C2" s="181"/>
      <c r="D2" s="181"/>
      <c r="E2" s="181"/>
      <c r="F2" s="181"/>
      <c r="G2" s="87" t="s">
        <v>238</v>
      </c>
      <c r="H2" s="181"/>
      <c r="I2" s="181"/>
      <c r="J2" s="181"/>
      <c r="K2" s="87" t="s">
        <v>233</v>
      </c>
      <c r="L2" s="60"/>
      <c r="N2" s="89" t="s">
        <v>260</v>
      </c>
      <c r="O2" s="90"/>
      <c r="P2" s="90"/>
      <c r="Q2" s="90"/>
      <c r="R2" s="90"/>
      <c r="S2" s="90"/>
      <c r="T2" s="90"/>
      <c r="U2" s="90"/>
    </row>
    <row r="3" spans="1:22" ht="24" customHeight="1" x14ac:dyDescent="0.3">
      <c r="A3" s="87" t="s">
        <v>236</v>
      </c>
      <c r="B3" s="182">
        <v>3</v>
      </c>
      <c r="C3" s="182"/>
      <c r="D3" s="87" t="s">
        <v>240</v>
      </c>
      <c r="E3" s="59">
        <v>2</v>
      </c>
      <c r="F3" s="87" t="s">
        <v>237</v>
      </c>
      <c r="G3" s="71">
        <v>3211</v>
      </c>
      <c r="H3" s="2"/>
      <c r="I3" s="4"/>
      <c r="J3" s="87" t="s">
        <v>239</v>
      </c>
      <c r="K3" s="181"/>
      <c r="L3" s="181"/>
    </row>
    <row r="4" spans="1:22" ht="24.95" customHeight="1" x14ac:dyDescent="0.25">
      <c r="A4" s="183" t="s">
        <v>216</v>
      </c>
      <c r="B4" s="183"/>
      <c r="C4" s="183"/>
      <c r="D4" s="183"/>
      <c r="E4" s="183"/>
      <c r="F4" s="183"/>
      <c r="G4" s="183"/>
      <c r="H4" s="183"/>
      <c r="I4" s="183"/>
      <c r="J4" s="183"/>
      <c r="K4" s="183"/>
      <c r="L4" s="183"/>
      <c r="M4" s="12"/>
    </row>
    <row r="5" spans="1:22" s="6" customFormat="1" ht="20.100000000000001" customHeight="1" x14ac:dyDescent="0.25">
      <c r="A5" s="81"/>
      <c r="B5" s="78"/>
      <c r="C5" s="82"/>
      <c r="D5" s="78"/>
      <c r="E5" s="82"/>
      <c r="F5" s="82"/>
      <c r="G5" s="78"/>
      <c r="H5" s="82"/>
      <c r="I5" s="78"/>
      <c r="J5" s="78"/>
      <c r="K5" s="78"/>
      <c r="L5" s="83"/>
      <c r="N5" s="74"/>
      <c r="O5" s="74"/>
      <c r="P5" s="74"/>
      <c r="Q5" s="74"/>
      <c r="R5" s="74"/>
      <c r="S5" s="74"/>
      <c r="T5" s="74"/>
      <c r="U5" s="74"/>
      <c r="V5" s="74"/>
    </row>
    <row r="6" spans="1:22" s="79" customFormat="1" ht="20.100000000000001" customHeight="1" x14ac:dyDescent="0.25">
      <c r="A6" s="84"/>
      <c r="B6" s="85"/>
      <c r="C6" s="85"/>
      <c r="D6" s="85"/>
      <c r="E6" s="85"/>
      <c r="F6" s="85"/>
      <c r="G6" s="85"/>
      <c r="H6" s="85"/>
      <c r="I6" s="85"/>
      <c r="J6" s="85"/>
      <c r="K6" s="85"/>
      <c r="L6" s="86"/>
      <c r="N6" s="80"/>
      <c r="O6" s="80"/>
      <c r="P6" s="80"/>
      <c r="Q6" s="80"/>
      <c r="R6" s="80"/>
      <c r="S6" s="80"/>
      <c r="T6" s="80"/>
      <c r="U6" s="80"/>
      <c r="V6" s="80"/>
    </row>
    <row r="7" spans="1:22" s="13" customFormat="1" ht="29.1" customHeight="1" x14ac:dyDescent="0.35">
      <c r="A7" s="184" t="s">
        <v>29</v>
      </c>
      <c r="B7" s="184"/>
      <c r="C7" s="184"/>
      <c r="D7" s="184"/>
      <c r="E7" s="184"/>
      <c r="F7" s="184"/>
      <c r="G7" s="184"/>
      <c r="H7" s="184"/>
      <c r="I7" s="184"/>
      <c r="J7" s="184"/>
      <c r="K7" s="184"/>
      <c r="L7" s="184"/>
      <c r="M7" s="9"/>
      <c r="N7" s="21"/>
      <c r="O7" s="21"/>
      <c r="P7" s="21"/>
      <c r="Q7" s="21"/>
      <c r="R7" s="21"/>
      <c r="S7" s="21"/>
      <c r="T7" s="21"/>
      <c r="U7" s="21"/>
      <c r="V7" s="21"/>
    </row>
    <row r="8" spans="1:22" s="13" customFormat="1" ht="14.1" customHeight="1" x14ac:dyDescent="0.2">
      <c r="A8" s="154" t="s">
        <v>162</v>
      </c>
      <c r="B8" s="154"/>
      <c r="C8" s="14" t="s">
        <v>30</v>
      </c>
      <c r="D8" s="154" t="s">
        <v>163</v>
      </c>
      <c r="E8" s="154"/>
      <c r="F8" s="154"/>
      <c r="G8" s="154"/>
      <c r="H8" s="154"/>
      <c r="I8" s="14" t="s">
        <v>31</v>
      </c>
      <c r="J8" s="14" t="s">
        <v>165</v>
      </c>
      <c r="K8" s="14" t="s">
        <v>17</v>
      </c>
      <c r="L8" s="15" t="s">
        <v>164</v>
      </c>
      <c r="M8" s="9"/>
      <c r="N8" s="21"/>
      <c r="O8" s="21"/>
      <c r="P8" s="21"/>
      <c r="Q8" s="21"/>
      <c r="R8" s="21"/>
      <c r="S8" s="21"/>
      <c r="T8" s="21"/>
      <c r="U8" s="21"/>
      <c r="V8" s="21"/>
    </row>
    <row r="9" spans="1:22" s="13" customFormat="1" ht="12.75" x14ac:dyDescent="0.2">
      <c r="A9" s="16" t="s">
        <v>217</v>
      </c>
      <c r="B9" s="17"/>
      <c r="C9" s="18"/>
      <c r="D9" s="122" t="s">
        <v>255</v>
      </c>
      <c r="E9" s="123"/>
      <c r="F9" s="123"/>
      <c r="G9" s="123"/>
      <c r="H9" s="124"/>
      <c r="I9" s="19"/>
      <c r="J9" s="8" t="s">
        <v>166</v>
      </c>
      <c r="K9" s="20">
        <v>4</v>
      </c>
      <c r="L9" s="54">
        <f>SUM(I9*K9)</f>
        <v>0</v>
      </c>
      <c r="M9" s="9"/>
      <c r="N9" s="21"/>
      <c r="O9" s="21"/>
      <c r="P9" s="21"/>
      <c r="Q9" s="21"/>
      <c r="R9" s="21"/>
      <c r="S9" s="21"/>
      <c r="T9" s="21"/>
      <c r="U9" s="21"/>
      <c r="V9" s="21"/>
    </row>
    <row r="10" spans="1:22" s="13" customFormat="1" ht="15" customHeight="1" x14ac:dyDescent="0.25">
      <c r="A10" s="159" t="s">
        <v>248</v>
      </c>
      <c r="B10" s="160"/>
      <c r="C10" s="18"/>
      <c r="D10" s="122" t="s">
        <v>256</v>
      </c>
      <c r="E10" s="123"/>
      <c r="F10" s="123"/>
      <c r="G10" s="123"/>
      <c r="H10" s="124"/>
      <c r="I10" s="19"/>
      <c r="J10" s="8" t="s">
        <v>166</v>
      </c>
      <c r="K10" s="20">
        <v>2.5</v>
      </c>
      <c r="L10" s="54">
        <f t="shared" ref="L10:L42" si="0">SUM(I10*K10)</f>
        <v>0</v>
      </c>
      <c r="M10" s="24"/>
      <c r="N10" s="24"/>
      <c r="O10" s="24"/>
      <c r="P10" s="24"/>
      <c r="Q10" s="24"/>
      <c r="R10" s="24"/>
      <c r="S10" s="25"/>
      <c r="T10" s="21"/>
      <c r="U10" s="21"/>
      <c r="V10" s="21"/>
    </row>
    <row r="11" spans="1:22" s="13" customFormat="1" x14ac:dyDescent="0.25">
      <c r="A11" s="159"/>
      <c r="B11" s="160"/>
      <c r="C11" s="18"/>
      <c r="D11" s="122" t="s">
        <v>167</v>
      </c>
      <c r="E11" s="123"/>
      <c r="F11" s="123"/>
      <c r="G11" s="123"/>
      <c r="H11" s="124"/>
      <c r="I11" s="19"/>
      <c r="J11" s="8" t="s">
        <v>166</v>
      </c>
      <c r="K11" s="20">
        <v>2</v>
      </c>
      <c r="L11" s="54">
        <f t="shared" si="0"/>
        <v>0</v>
      </c>
      <c r="M11" s="24"/>
      <c r="N11" s="24"/>
      <c r="O11" s="24"/>
      <c r="P11" s="24"/>
      <c r="Q11" s="24"/>
      <c r="R11" s="24"/>
      <c r="S11" s="25"/>
      <c r="T11" s="21"/>
      <c r="U11" s="21"/>
      <c r="V11" s="21"/>
    </row>
    <row r="12" spans="1:22" s="13" customFormat="1" ht="12.75" x14ac:dyDescent="0.2">
      <c r="A12" s="67"/>
      <c r="B12" s="68"/>
      <c r="C12" s="18"/>
      <c r="D12" s="122" t="s">
        <v>168</v>
      </c>
      <c r="E12" s="123"/>
      <c r="F12" s="123"/>
      <c r="G12" s="123"/>
      <c r="H12" s="124"/>
      <c r="I12" s="19"/>
      <c r="J12" s="8" t="s">
        <v>169</v>
      </c>
      <c r="K12" s="20">
        <v>900</v>
      </c>
      <c r="L12" s="54">
        <f t="shared" si="0"/>
        <v>0</v>
      </c>
      <c r="M12" s="9"/>
      <c r="N12" s="21"/>
      <c r="O12" s="21"/>
      <c r="P12" s="21"/>
      <c r="Q12" s="21"/>
      <c r="R12" s="21"/>
      <c r="S12" s="21"/>
      <c r="T12" s="21"/>
      <c r="U12" s="21"/>
      <c r="V12" s="21"/>
    </row>
    <row r="13" spans="1:22" s="13" customFormat="1" ht="12.75" x14ac:dyDescent="0.2">
      <c r="A13" s="64"/>
      <c r="B13" s="65"/>
      <c r="C13" s="18"/>
      <c r="D13" s="122" t="s">
        <v>170</v>
      </c>
      <c r="E13" s="123"/>
      <c r="F13" s="123"/>
      <c r="G13" s="123"/>
      <c r="H13" s="124"/>
      <c r="I13" s="19"/>
      <c r="J13" s="8" t="s">
        <v>169</v>
      </c>
      <c r="K13" s="20">
        <v>600</v>
      </c>
      <c r="L13" s="54">
        <f t="shared" si="0"/>
        <v>0</v>
      </c>
      <c r="M13" s="9"/>
      <c r="N13" s="21"/>
      <c r="O13" s="21"/>
      <c r="P13" s="21"/>
      <c r="Q13" s="21"/>
      <c r="R13" s="21"/>
      <c r="S13" s="21"/>
      <c r="T13" s="21"/>
      <c r="U13" s="21"/>
      <c r="V13" s="21"/>
    </row>
    <row r="14" spans="1:22" s="13" customFormat="1" ht="12.75" x14ac:dyDescent="0.2">
      <c r="A14" s="64"/>
      <c r="B14" s="65"/>
      <c r="C14" s="18"/>
      <c r="D14" s="122" t="s">
        <v>171</v>
      </c>
      <c r="E14" s="123"/>
      <c r="F14" s="123"/>
      <c r="G14" s="123"/>
      <c r="H14" s="124"/>
      <c r="I14" s="19"/>
      <c r="J14" s="8" t="s">
        <v>166</v>
      </c>
      <c r="K14" s="20">
        <v>0.35</v>
      </c>
      <c r="L14" s="54">
        <f t="shared" si="0"/>
        <v>0</v>
      </c>
      <c r="M14" s="9"/>
      <c r="N14" s="21"/>
      <c r="O14" s="21"/>
      <c r="P14" s="21"/>
      <c r="Q14" s="21"/>
      <c r="R14" s="21"/>
      <c r="S14" s="21"/>
      <c r="T14" s="21"/>
      <c r="U14" s="21"/>
      <c r="V14" s="21"/>
    </row>
    <row r="15" spans="1:22" s="13" customFormat="1" ht="12.75" x14ac:dyDescent="0.2">
      <c r="A15" s="22"/>
      <c r="B15" s="23"/>
      <c r="C15" s="18"/>
      <c r="D15" s="122" t="s">
        <v>172</v>
      </c>
      <c r="E15" s="123"/>
      <c r="F15" s="123"/>
      <c r="G15" s="123"/>
      <c r="H15" s="124"/>
      <c r="I15" s="19"/>
      <c r="J15" s="8" t="s">
        <v>166</v>
      </c>
      <c r="K15" s="20">
        <v>0.2</v>
      </c>
      <c r="L15" s="54">
        <f t="shared" si="0"/>
        <v>0</v>
      </c>
      <c r="M15" s="9"/>
      <c r="N15" s="21"/>
      <c r="O15" s="21"/>
      <c r="P15" s="21"/>
      <c r="Q15" s="21"/>
      <c r="R15" s="21"/>
      <c r="S15" s="21"/>
      <c r="T15" s="21"/>
      <c r="U15" s="21"/>
      <c r="V15" s="21"/>
    </row>
    <row r="16" spans="1:22" s="13" customFormat="1" ht="12.75" x14ac:dyDescent="0.2">
      <c r="A16" s="22"/>
      <c r="B16" s="23"/>
      <c r="C16" s="18"/>
      <c r="D16" s="122" t="s">
        <v>173</v>
      </c>
      <c r="E16" s="123"/>
      <c r="F16" s="123"/>
      <c r="G16" s="123"/>
      <c r="H16" s="124"/>
      <c r="I16" s="19"/>
      <c r="J16" s="8" t="s">
        <v>174</v>
      </c>
      <c r="K16" s="20">
        <v>3</v>
      </c>
      <c r="L16" s="54">
        <f t="shared" si="0"/>
        <v>0</v>
      </c>
      <c r="M16" s="9"/>
      <c r="N16" s="21"/>
      <c r="O16" s="21"/>
      <c r="P16" s="21"/>
      <c r="Q16" s="21"/>
      <c r="R16" s="21"/>
      <c r="S16" s="21"/>
      <c r="T16" s="21"/>
      <c r="U16" s="21"/>
      <c r="V16" s="21"/>
    </row>
    <row r="17" spans="1:28" s="13" customFormat="1" ht="12.75" x14ac:dyDescent="0.2">
      <c r="A17" s="26"/>
      <c r="B17" s="27"/>
      <c r="C17" s="18"/>
      <c r="D17" s="122" t="s">
        <v>175</v>
      </c>
      <c r="E17" s="123"/>
      <c r="F17" s="123"/>
      <c r="G17" s="123"/>
      <c r="H17" s="124"/>
      <c r="I17" s="19"/>
      <c r="J17" s="8" t="s">
        <v>174</v>
      </c>
      <c r="K17" s="20">
        <v>4</v>
      </c>
      <c r="L17" s="54">
        <f t="shared" si="0"/>
        <v>0</v>
      </c>
      <c r="M17" s="9"/>
      <c r="N17" s="21"/>
      <c r="O17" s="21"/>
      <c r="P17" s="21"/>
      <c r="Q17" s="21"/>
      <c r="R17" s="21"/>
      <c r="S17" s="21"/>
      <c r="T17" s="21"/>
      <c r="U17" s="21"/>
      <c r="V17" s="21"/>
    </row>
    <row r="18" spans="1:28" s="13" customFormat="1" ht="12.75" x14ac:dyDescent="0.2">
      <c r="A18" s="16" t="s">
        <v>32</v>
      </c>
      <c r="B18" s="17"/>
      <c r="C18" s="18"/>
      <c r="D18" s="122" t="s">
        <v>176</v>
      </c>
      <c r="E18" s="123"/>
      <c r="F18" s="123"/>
      <c r="G18" s="123"/>
      <c r="H18" s="124"/>
      <c r="I18" s="28"/>
      <c r="J18" s="8" t="s">
        <v>166</v>
      </c>
      <c r="K18" s="20">
        <v>0.5</v>
      </c>
      <c r="L18" s="54">
        <f t="shared" si="0"/>
        <v>0</v>
      </c>
      <c r="M18" s="9"/>
      <c r="N18" s="21"/>
      <c r="O18" s="21"/>
      <c r="P18" s="21"/>
      <c r="Q18" s="21"/>
      <c r="R18" s="21"/>
      <c r="S18" s="21"/>
      <c r="T18" s="21"/>
      <c r="U18" s="21"/>
      <c r="V18" s="21"/>
    </row>
    <row r="19" spans="1:28" s="13" customFormat="1" ht="12.75" x14ac:dyDescent="0.2">
      <c r="A19" s="26"/>
      <c r="B19" s="27"/>
      <c r="C19" s="18"/>
      <c r="D19" s="122" t="s">
        <v>177</v>
      </c>
      <c r="E19" s="123"/>
      <c r="F19" s="123"/>
      <c r="G19" s="123"/>
      <c r="H19" s="124"/>
      <c r="I19" s="28"/>
      <c r="J19" s="8" t="s">
        <v>174</v>
      </c>
      <c r="K19" s="20">
        <v>6</v>
      </c>
      <c r="L19" s="54">
        <f t="shared" si="0"/>
        <v>0</v>
      </c>
      <c r="M19" s="9"/>
      <c r="N19" s="21"/>
      <c r="O19" s="21"/>
      <c r="P19" s="21"/>
      <c r="Q19" s="21"/>
      <c r="R19" s="21"/>
      <c r="S19" s="21"/>
      <c r="T19" s="21"/>
      <c r="U19" s="21"/>
      <c r="V19" s="21"/>
    </row>
    <row r="20" spans="1:28" s="13" customFormat="1" ht="12.75" x14ac:dyDescent="0.2">
      <c r="A20" s="16" t="s">
        <v>33</v>
      </c>
      <c r="B20" s="17"/>
      <c r="C20" s="18"/>
      <c r="D20" s="122" t="s">
        <v>178</v>
      </c>
      <c r="E20" s="123"/>
      <c r="F20" s="123"/>
      <c r="G20" s="123"/>
      <c r="H20" s="124"/>
      <c r="I20" s="28"/>
      <c r="J20" s="8" t="s">
        <v>166</v>
      </c>
      <c r="K20" s="20">
        <v>0.75</v>
      </c>
      <c r="L20" s="54">
        <f t="shared" si="0"/>
        <v>0</v>
      </c>
      <c r="M20" s="9"/>
      <c r="N20" s="21"/>
      <c r="O20" s="21"/>
      <c r="P20" s="21"/>
      <c r="Q20" s="21"/>
      <c r="R20" s="21"/>
      <c r="S20" s="21"/>
      <c r="T20" s="21"/>
      <c r="U20" s="21"/>
      <c r="V20" s="21"/>
    </row>
    <row r="21" spans="1:28" s="3" customFormat="1" x14ac:dyDescent="0.25">
      <c r="A21" s="22"/>
      <c r="B21" s="23"/>
      <c r="C21" s="29"/>
      <c r="D21" s="122" t="s">
        <v>179</v>
      </c>
      <c r="E21" s="123"/>
      <c r="F21" s="123"/>
      <c r="G21" s="123"/>
      <c r="H21" s="124"/>
      <c r="I21" s="30"/>
      <c r="J21" s="8" t="s">
        <v>166</v>
      </c>
      <c r="K21" s="20">
        <v>7</v>
      </c>
      <c r="L21" s="54">
        <f t="shared" si="0"/>
        <v>0</v>
      </c>
      <c r="M21" s="10"/>
      <c r="N21" s="10"/>
      <c r="O21" s="10"/>
      <c r="P21" s="10"/>
      <c r="Q21" s="10"/>
      <c r="R21" s="10"/>
      <c r="S21" s="10"/>
      <c r="T21" s="10"/>
      <c r="U21" s="10"/>
      <c r="V21" s="10"/>
    </row>
    <row r="22" spans="1:28" s="33" customFormat="1" ht="17.100000000000001" customHeight="1" x14ac:dyDescent="0.2">
      <c r="A22" s="22"/>
      <c r="B22" s="23"/>
      <c r="C22" s="31"/>
      <c r="D22" s="122" t="s">
        <v>180</v>
      </c>
      <c r="E22" s="123"/>
      <c r="F22" s="123"/>
      <c r="G22" s="123"/>
      <c r="H22" s="124"/>
      <c r="I22" s="32"/>
      <c r="J22" s="8" t="s">
        <v>166</v>
      </c>
      <c r="K22" s="20">
        <v>6</v>
      </c>
      <c r="L22" s="54">
        <f t="shared" si="0"/>
        <v>0</v>
      </c>
      <c r="M22" s="11"/>
      <c r="N22" s="77"/>
      <c r="O22" s="77"/>
      <c r="P22" s="77"/>
      <c r="Q22" s="77"/>
      <c r="R22" s="77"/>
      <c r="S22" s="77"/>
      <c r="T22" s="77"/>
      <c r="U22" s="77"/>
      <c r="V22" s="77"/>
      <c r="W22" s="77"/>
      <c r="X22" s="77"/>
      <c r="Y22" s="77"/>
      <c r="Z22" s="11"/>
      <c r="AA22" s="11"/>
    </row>
    <row r="23" spans="1:28" s="13" customFormat="1" ht="15" x14ac:dyDescent="0.2">
      <c r="A23" s="22"/>
      <c r="B23" s="23"/>
      <c r="C23" s="18"/>
      <c r="D23" s="122" t="s">
        <v>181</v>
      </c>
      <c r="E23" s="123"/>
      <c r="F23" s="123"/>
      <c r="G23" s="123"/>
      <c r="H23" s="124"/>
      <c r="I23" s="28"/>
      <c r="J23" s="8" t="s">
        <v>166</v>
      </c>
      <c r="K23" s="20">
        <v>2.25</v>
      </c>
      <c r="L23" s="54">
        <f t="shared" si="0"/>
        <v>0</v>
      </c>
      <c r="M23" s="9"/>
      <c r="N23" s="88"/>
      <c r="O23" s="88"/>
      <c r="P23" s="88"/>
      <c r="Q23" s="88"/>
      <c r="R23" s="88"/>
      <c r="S23" s="88"/>
      <c r="T23" s="88"/>
      <c r="U23" s="88"/>
      <c r="V23" s="88"/>
      <c r="W23" s="88"/>
      <c r="X23" s="88"/>
      <c r="Y23" s="88"/>
      <c r="Z23" s="9"/>
      <c r="AA23" s="9"/>
    </row>
    <row r="24" spans="1:28" s="13" customFormat="1" ht="12.75" x14ac:dyDescent="0.2">
      <c r="A24" s="22"/>
      <c r="B24" s="23"/>
      <c r="C24" s="18"/>
      <c r="D24" s="122" t="s">
        <v>182</v>
      </c>
      <c r="E24" s="123"/>
      <c r="F24" s="123"/>
      <c r="G24" s="123"/>
      <c r="H24" s="124"/>
      <c r="I24" s="28"/>
      <c r="J24" s="8" t="s">
        <v>166</v>
      </c>
      <c r="K24" s="20">
        <v>7</v>
      </c>
      <c r="L24" s="54">
        <f t="shared" si="0"/>
        <v>0</v>
      </c>
      <c r="M24" s="9"/>
      <c r="N24" s="9"/>
      <c r="O24" s="9"/>
      <c r="P24" s="9"/>
      <c r="Q24" s="9"/>
      <c r="R24" s="9"/>
      <c r="S24" s="9"/>
      <c r="T24" s="9"/>
      <c r="U24" s="9"/>
      <c r="V24" s="9"/>
      <c r="W24" s="9"/>
      <c r="X24" s="9"/>
      <c r="Y24" s="9"/>
      <c r="Z24" s="9"/>
      <c r="AA24" s="9"/>
    </row>
    <row r="25" spans="1:28" s="13" customFormat="1" ht="12.75" x14ac:dyDescent="0.2">
      <c r="A25" s="22"/>
      <c r="B25" s="23"/>
      <c r="C25" s="18"/>
      <c r="D25" s="122" t="s">
        <v>183</v>
      </c>
      <c r="E25" s="123"/>
      <c r="F25" s="123"/>
      <c r="G25" s="123"/>
      <c r="H25" s="124"/>
      <c r="I25" s="28"/>
      <c r="J25" s="8" t="s">
        <v>166</v>
      </c>
      <c r="K25" s="20">
        <v>2.5</v>
      </c>
      <c r="L25" s="54">
        <f t="shared" si="0"/>
        <v>0</v>
      </c>
      <c r="M25" s="9"/>
      <c r="N25" s="21"/>
      <c r="O25" s="21"/>
      <c r="P25" s="21"/>
      <c r="Q25" s="21"/>
      <c r="R25" s="21"/>
      <c r="S25" s="21"/>
      <c r="T25" s="21"/>
      <c r="U25" s="21"/>
      <c r="V25" s="21"/>
    </row>
    <row r="26" spans="1:28" s="13" customFormat="1" ht="12.75" x14ac:dyDescent="0.2">
      <c r="A26" s="22"/>
      <c r="B26" s="23"/>
      <c r="C26" s="18"/>
      <c r="D26" s="122" t="s">
        <v>184</v>
      </c>
      <c r="E26" s="123"/>
      <c r="F26" s="123"/>
      <c r="G26" s="123"/>
      <c r="H26" s="124"/>
      <c r="I26" s="28"/>
      <c r="J26" s="8" t="s">
        <v>185</v>
      </c>
      <c r="K26" s="20">
        <v>500</v>
      </c>
      <c r="L26" s="54">
        <f t="shared" si="0"/>
        <v>0</v>
      </c>
      <c r="M26" s="9"/>
      <c r="N26" s="21"/>
      <c r="O26" s="21"/>
      <c r="P26" s="21"/>
      <c r="Q26" s="21"/>
      <c r="R26" s="21"/>
      <c r="S26" s="21"/>
      <c r="T26" s="21"/>
      <c r="U26" s="21"/>
      <c r="V26" s="21"/>
    </row>
    <row r="27" spans="1:28" s="13" customFormat="1" ht="12.75" x14ac:dyDescent="0.2">
      <c r="A27" s="26"/>
      <c r="B27" s="27"/>
      <c r="C27" s="18"/>
      <c r="D27" s="122" t="s">
        <v>186</v>
      </c>
      <c r="E27" s="123"/>
      <c r="F27" s="123"/>
      <c r="G27" s="123"/>
      <c r="H27" s="124"/>
      <c r="I27" s="28"/>
      <c r="J27" s="8" t="s">
        <v>166</v>
      </c>
      <c r="K27" s="20">
        <v>0.75</v>
      </c>
      <c r="L27" s="54">
        <f t="shared" si="0"/>
        <v>0</v>
      </c>
      <c r="M27" s="9"/>
      <c r="N27" s="21"/>
      <c r="O27" s="21"/>
      <c r="P27" s="21"/>
      <c r="Q27" s="21"/>
      <c r="R27" s="21"/>
      <c r="S27" s="21"/>
      <c r="T27" s="21"/>
      <c r="U27" s="21"/>
      <c r="V27" s="21"/>
    </row>
    <row r="28" spans="1:28" s="13" customFormat="1" ht="12.75" x14ac:dyDescent="0.2">
      <c r="A28" s="16" t="s">
        <v>34</v>
      </c>
      <c r="B28" s="17"/>
      <c r="C28" s="18"/>
      <c r="D28" s="122" t="s">
        <v>7</v>
      </c>
      <c r="E28" s="123"/>
      <c r="F28" s="123"/>
      <c r="G28" s="123"/>
      <c r="H28" s="124"/>
      <c r="I28" s="28"/>
      <c r="J28" s="8" t="s">
        <v>185</v>
      </c>
      <c r="K28" s="20">
        <v>5000</v>
      </c>
      <c r="L28" s="54">
        <f t="shared" si="0"/>
        <v>0</v>
      </c>
      <c r="M28" s="9"/>
      <c r="N28" s="21"/>
      <c r="O28" s="21"/>
      <c r="P28" s="21"/>
      <c r="Q28" s="21"/>
      <c r="R28" s="21"/>
      <c r="S28" s="21"/>
      <c r="T28" s="21"/>
      <c r="U28" s="21"/>
      <c r="V28" s="21"/>
    </row>
    <row r="29" spans="1:28" s="13" customFormat="1" ht="12.75" x14ac:dyDescent="0.2">
      <c r="A29" s="22"/>
      <c r="B29" s="23"/>
      <c r="C29" s="18"/>
      <c r="D29" s="122" t="s">
        <v>187</v>
      </c>
      <c r="E29" s="123"/>
      <c r="F29" s="123"/>
      <c r="G29" s="123"/>
      <c r="H29" s="124"/>
      <c r="I29" s="18"/>
      <c r="J29" s="8" t="s">
        <v>166</v>
      </c>
      <c r="K29" s="20">
        <v>6</v>
      </c>
      <c r="L29" s="54">
        <f t="shared" si="0"/>
        <v>0</v>
      </c>
      <c r="M29" s="5"/>
      <c r="N29" s="21"/>
      <c r="O29" s="21"/>
      <c r="P29" s="21"/>
      <c r="Q29" s="21"/>
      <c r="R29" s="21"/>
      <c r="S29" s="21"/>
      <c r="T29" s="21"/>
      <c r="U29" s="21"/>
      <c r="V29" s="21"/>
    </row>
    <row r="30" spans="1:28" s="13" customFormat="1" ht="15" x14ac:dyDescent="0.2">
      <c r="A30" s="22"/>
      <c r="B30" s="23"/>
      <c r="C30" s="18"/>
      <c r="D30" s="122" t="s">
        <v>188</v>
      </c>
      <c r="E30" s="123"/>
      <c r="F30" s="123"/>
      <c r="G30" s="123"/>
      <c r="H30" s="124"/>
      <c r="I30" s="18"/>
      <c r="J30" s="8" t="s">
        <v>166</v>
      </c>
      <c r="K30" s="20">
        <v>18</v>
      </c>
      <c r="L30" s="54">
        <f t="shared" si="0"/>
        <v>0</v>
      </c>
      <c r="M30" s="5"/>
      <c r="N30" s="21"/>
      <c r="O30" s="21"/>
      <c r="P30" s="75"/>
      <c r="Q30" s="21"/>
      <c r="R30" s="21"/>
      <c r="S30" s="21"/>
      <c r="T30" s="21"/>
      <c r="U30" s="21"/>
      <c r="V30" s="21"/>
    </row>
    <row r="31" spans="1:28" s="13" customFormat="1" ht="12.75" x14ac:dyDescent="0.2">
      <c r="A31" s="22"/>
      <c r="B31" s="23"/>
      <c r="C31" s="18"/>
      <c r="D31" s="122" t="s">
        <v>189</v>
      </c>
      <c r="E31" s="123"/>
      <c r="F31" s="123"/>
      <c r="G31" s="123"/>
      <c r="H31" s="124"/>
      <c r="I31" s="18"/>
      <c r="J31" s="8" t="s">
        <v>166</v>
      </c>
      <c r="K31" s="20">
        <v>11.5</v>
      </c>
      <c r="L31" s="54">
        <f t="shared" si="0"/>
        <v>0</v>
      </c>
      <c r="M31" s="5"/>
      <c r="N31" s="21"/>
      <c r="O31" s="21"/>
      <c r="P31" s="21"/>
      <c r="Q31" s="76"/>
      <c r="R31" s="76"/>
      <c r="S31" s="21"/>
      <c r="T31" s="21"/>
      <c r="U31" s="21"/>
      <c r="V31" s="21"/>
    </row>
    <row r="32" spans="1:28" s="13" customFormat="1" ht="12.75" x14ac:dyDescent="0.2">
      <c r="A32" s="22"/>
      <c r="B32" s="23"/>
      <c r="C32" s="18"/>
      <c r="D32" s="122" t="s">
        <v>190</v>
      </c>
      <c r="E32" s="123"/>
      <c r="F32" s="123"/>
      <c r="G32" s="123"/>
      <c r="H32" s="124"/>
      <c r="I32" s="18"/>
      <c r="J32" s="8" t="s">
        <v>166</v>
      </c>
      <c r="K32" s="20">
        <v>3.5</v>
      </c>
      <c r="L32" s="54">
        <f t="shared" si="0"/>
        <v>0</v>
      </c>
      <c r="M32" s="5"/>
      <c r="N32" s="21"/>
      <c r="O32" s="21"/>
      <c r="P32" s="9"/>
      <c r="Q32" s="9"/>
      <c r="R32" s="9"/>
      <c r="S32" s="9"/>
      <c r="T32" s="9"/>
      <c r="U32" s="9"/>
      <c r="V32" s="9"/>
      <c r="W32" s="5"/>
      <c r="X32" s="5"/>
      <c r="Y32" s="5"/>
      <c r="Z32" s="5"/>
      <c r="AA32" s="5"/>
      <c r="AB32" s="5"/>
    </row>
    <row r="33" spans="1:28" s="13" customFormat="1" ht="15" x14ac:dyDescent="0.2">
      <c r="A33" s="26"/>
      <c r="B33" s="27"/>
      <c r="C33" s="18"/>
      <c r="D33" s="122" t="s">
        <v>191</v>
      </c>
      <c r="E33" s="123"/>
      <c r="F33" s="123"/>
      <c r="G33" s="123"/>
      <c r="H33" s="124"/>
      <c r="I33" s="18"/>
      <c r="J33" s="8" t="s">
        <v>166</v>
      </c>
      <c r="K33" s="20">
        <v>0.75</v>
      </c>
      <c r="L33" s="54">
        <f t="shared" si="0"/>
        <v>0</v>
      </c>
      <c r="M33" s="5"/>
      <c r="N33" s="21"/>
      <c r="O33" s="21"/>
      <c r="P33" s="9"/>
      <c r="Q33" s="21"/>
      <c r="R33" s="77"/>
      <c r="S33" s="77"/>
      <c r="T33" s="77"/>
      <c r="U33" s="77"/>
      <c r="V33" s="77"/>
      <c r="W33" s="72"/>
      <c r="X33" s="72"/>
      <c r="Y33" s="72"/>
      <c r="Z33" s="72"/>
      <c r="AA33" s="72"/>
      <c r="AB33" s="72"/>
    </row>
    <row r="34" spans="1:28" s="13" customFormat="1" ht="12.75" x14ac:dyDescent="0.2">
      <c r="A34" s="16" t="s">
        <v>35</v>
      </c>
      <c r="B34" s="17"/>
      <c r="C34" s="18"/>
      <c r="D34" s="122" t="s">
        <v>192</v>
      </c>
      <c r="E34" s="123"/>
      <c r="F34" s="123"/>
      <c r="G34" s="123"/>
      <c r="H34" s="124"/>
      <c r="I34" s="18"/>
      <c r="J34" s="8" t="s">
        <v>166</v>
      </c>
      <c r="K34" s="20">
        <v>2</v>
      </c>
      <c r="L34" s="54">
        <f t="shared" si="0"/>
        <v>0</v>
      </c>
      <c r="M34" s="5"/>
      <c r="N34" s="21"/>
      <c r="O34" s="21"/>
      <c r="P34" s="9"/>
      <c r="Q34" s="9"/>
      <c r="R34" s="9"/>
      <c r="S34" s="9"/>
      <c r="T34" s="9"/>
      <c r="U34" s="9"/>
      <c r="V34" s="9"/>
      <c r="W34" s="5"/>
      <c r="X34" s="5"/>
      <c r="Y34" s="5"/>
      <c r="Z34" s="5"/>
      <c r="AA34" s="5"/>
      <c r="AB34" s="5"/>
    </row>
    <row r="35" spans="1:28" s="13" customFormat="1" ht="12.75" x14ac:dyDescent="0.2">
      <c r="A35" s="22"/>
      <c r="B35" s="23"/>
      <c r="C35" s="18"/>
      <c r="D35" s="122" t="s">
        <v>193</v>
      </c>
      <c r="E35" s="123"/>
      <c r="F35" s="123"/>
      <c r="G35" s="123"/>
      <c r="H35" s="124"/>
      <c r="I35" s="18"/>
      <c r="J35" s="8" t="s">
        <v>166</v>
      </c>
      <c r="K35" s="20">
        <v>1</v>
      </c>
      <c r="L35" s="54">
        <f t="shared" si="0"/>
        <v>0</v>
      </c>
      <c r="M35" s="5"/>
      <c r="N35" s="21"/>
      <c r="O35" s="21"/>
      <c r="P35" s="9"/>
      <c r="Q35" s="9"/>
      <c r="R35" s="9"/>
      <c r="S35" s="9"/>
      <c r="T35" s="9"/>
      <c r="U35" s="9"/>
      <c r="V35" s="9"/>
      <c r="W35" s="5"/>
      <c r="X35" s="5"/>
      <c r="Y35" s="5"/>
      <c r="Z35" s="5"/>
      <c r="AA35" s="5"/>
      <c r="AB35" s="5"/>
    </row>
    <row r="36" spans="1:28" s="13" customFormat="1" ht="12.75" x14ac:dyDescent="0.2">
      <c r="A36" s="22"/>
      <c r="B36" s="23"/>
      <c r="C36" s="18"/>
      <c r="D36" s="122" t="s">
        <v>194</v>
      </c>
      <c r="E36" s="123"/>
      <c r="F36" s="123"/>
      <c r="G36" s="123"/>
      <c r="H36" s="124"/>
      <c r="I36" s="18"/>
      <c r="J36" s="8" t="s">
        <v>174</v>
      </c>
      <c r="K36" s="20">
        <v>1.65</v>
      </c>
      <c r="L36" s="54">
        <f t="shared" si="0"/>
        <v>0</v>
      </c>
      <c r="M36" s="5"/>
      <c r="N36" s="21"/>
      <c r="O36" s="21"/>
      <c r="P36" s="9"/>
      <c r="Q36" s="9"/>
      <c r="R36" s="9"/>
      <c r="S36" s="9"/>
      <c r="T36" s="9"/>
      <c r="U36" s="9"/>
      <c r="V36" s="9"/>
      <c r="W36" s="5"/>
      <c r="X36" s="5"/>
      <c r="Y36" s="5"/>
      <c r="Z36" s="5"/>
      <c r="AA36" s="5"/>
      <c r="AB36" s="5"/>
    </row>
    <row r="37" spans="1:28" s="13" customFormat="1" ht="12.75" x14ac:dyDescent="0.2">
      <c r="A37" s="22"/>
      <c r="B37" s="23"/>
      <c r="C37" s="18"/>
      <c r="D37" s="122" t="s">
        <v>195</v>
      </c>
      <c r="E37" s="123"/>
      <c r="F37" s="123"/>
      <c r="G37" s="123"/>
      <c r="H37" s="124"/>
      <c r="I37" s="18"/>
      <c r="J37" s="8" t="s">
        <v>166</v>
      </c>
      <c r="K37" s="20">
        <v>1.75</v>
      </c>
      <c r="L37" s="54">
        <f t="shared" si="0"/>
        <v>0</v>
      </c>
      <c r="M37" s="5"/>
      <c r="O37" s="21"/>
      <c r="P37" s="21"/>
      <c r="Q37" s="21"/>
      <c r="R37" s="21"/>
      <c r="S37" s="21"/>
      <c r="T37" s="21"/>
      <c r="U37" s="21"/>
      <c r="V37" s="21"/>
    </row>
    <row r="38" spans="1:28" s="13" customFormat="1" ht="12.75" x14ac:dyDescent="0.2">
      <c r="A38" s="22"/>
      <c r="B38" s="23"/>
      <c r="C38" s="18"/>
      <c r="D38" s="122" t="s">
        <v>196</v>
      </c>
      <c r="E38" s="123"/>
      <c r="F38" s="123"/>
      <c r="G38" s="123"/>
      <c r="H38" s="124"/>
      <c r="I38" s="18"/>
      <c r="J38" s="8" t="s">
        <v>166</v>
      </c>
      <c r="K38" s="20">
        <v>1</v>
      </c>
      <c r="L38" s="54">
        <f t="shared" si="0"/>
        <v>0</v>
      </c>
      <c r="M38" s="5"/>
      <c r="N38" s="21"/>
      <c r="O38" s="21"/>
      <c r="P38" s="21"/>
      <c r="Q38" s="21"/>
      <c r="R38" s="21"/>
      <c r="S38" s="21"/>
      <c r="T38" s="21"/>
      <c r="U38" s="21"/>
      <c r="V38" s="21"/>
    </row>
    <row r="39" spans="1:28" s="13" customFormat="1" ht="12.75" x14ac:dyDescent="0.2">
      <c r="A39" s="26"/>
      <c r="B39" s="27"/>
      <c r="C39" s="18"/>
      <c r="D39" s="122" t="s">
        <v>197</v>
      </c>
      <c r="E39" s="123"/>
      <c r="F39" s="123"/>
      <c r="G39" s="123"/>
      <c r="H39" s="124"/>
      <c r="I39" s="18"/>
      <c r="J39" s="8" t="s">
        <v>166</v>
      </c>
      <c r="K39" s="20">
        <v>1</v>
      </c>
      <c r="L39" s="54">
        <f t="shared" si="0"/>
        <v>0</v>
      </c>
      <c r="M39" s="5"/>
      <c r="N39" s="21"/>
      <c r="O39" s="21"/>
      <c r="P39" s="21"/>
      <c r="Q39" s="21"/>
      <c r="R39" s="21"/>
      <c r="S39" s="21"/>
      <c r="T39" s="21"/>
      <c r="U39" s="21"/>
      <c r="V39" s="21"/>
    </row>
    <row r="40" spans="1:28" s="13" customFormat="1" ht="12.75" x14ac:dyDescent="0.2">
      <c r="A40" s="16" t="s">
        <v>36</v>
      </c>
      <c r="B40" s="17"/>
      <c r="C40" s="18"/>
      <c r="D40" s="122" t="s">
        <v>198</v>
      </c>
      <c r="E40" s="123"/>
      <c r="F40" s="123"/>
      <c r="G40" s="123"/>
      <c r="H40" s="124"/>
      <c r="I40" s="18"/>
      <c r="J40" s="8" t="s">
        <v>169</v>
      </c>
      <c r="K40" s="20">
        <v>250</v>
      </c>
      <c r="L40" s="54">
        <f t="shared" si="0"/>
        <v>0</v>
      </c>
      <c r="M40" s="5"/>
      <c r="N40" s="21"/>
      <c r="O40" s="21"/>
      <c r="P40" s="21"/>
      <c r="Q40" s="21"/>
      <c r="R40" s="21"/>
      <c r="S40" s="21"/>
      <c r="T40" s="21"/>
      <c r="U40" s="21"/>
      <c r="V40" s="21"/>
    </row>
    <row r="41" spans="1:28" s="13" customFormat="1" ht="12.75" x14ac:dyDescent="0.2">
      <c r="A41" s="22"/>
      <c r="B41" s="23"/>
      <c r="C41" s="18"/>
      <c r="D41" s="122" t="s">
        <v>199</v>
      </c>
      <c r="E41" s="123"/>
      <c r="F41" s="123"/>
      <c r="G41" s="123"/>
      <c r="H41" s="124"/>
      <c r="I41" s="18"/>
      <c r="J41" s="8" t="s">
        <v>169</v>
      </c>
      <c r="K41" s="20">
        <v>450</v>
      </c>
      <c r="L41" s="54">
        <f t="shared" si="0"/>
        <v>0</v>
      </c>
      <c r="M41" s="5"/>
      <c r="N41" s="21"/>
      <c r="O41" s="21"/>
      <c r="P41" s="21"/>
      <c r="Q41" s="21"/>
      <c r="R41" s="21"/>
      <c r="S41" s="21"/>
      <c r="T41" s="21"/>
      <c r="U41" s="21"/>
      <c r="V41" s="21"/>
    </row>
    <row r="42" spans="1:28" s="13" customFormat="1" ht="12.75" x14ac:dyDescent="0.2">
      <c r="A42" s="26"/>
      <c r="B42" s="27"/>
      <c r="C42" s="18"/>
      <c r="D42" s="122" t="s">
        <v>200</v>
      </c>
      <c r="E42" s="123"/>
      <c r="F42" s="123"/>
      <c r="G42" s="123"/>
      <c r="H42" s="124"/>
      <c r="I42" s="18"/>
      <c r="J42" s="8" t="s">
        <v>169</v>
      </c>
      <c r="K42" s="20">
        <v>850</v>
      </c>
      <c r="L42" s="54">
        <f t="shared" si="0"/>
        <v>0</v>
      </c>
      <c r="M42" s="5"/>
      <c r="N42" s="21"/>
      <c r="O42" s="21"/>
      <c r="P42" s="21"/>
      <c r="Q42" s="21"/>
      <c r="R42" s="21"/>
      <c r="S42" s="21"/>
      <c r="T42" s="21"/>
      <c r="U42" s="21"/>
      <c r="V42" s="21"/>
    </row>
    <row r="43" spans="1:28" s="13" customFormat="1" ht="12.75" x14ac:dyDescent="0.2">
      <c r="A43" s="49"/>
      <c r="B43" s="49"/>
      <c r="C43" s="103"/>
      <c r="D43" s="103"/>
      <c r="E43" s="103"/>
      <c r="F43" s="103"/>
      <c r="G43" s="103"/>
      <c r="H43" s="103"/>
      <c r="I43" s="103"/>
      <c r="J43" s="104"/>
      <c r="K43" s="105"/>
      <c r="L43" s="106"/>
      <c r="M43" s="5"/>
      <c r="N43" s="21"/>
      <c r="O43" s="21"/>
      <c r="P43" s="21"/>
      <c r="Q43" s="21"/>
      <c r="R43" s="21"/>
      <c r="S43" s="21"/>
      <c r="T43" s="21"/>
      <c r="U43" s="21"/>
      <c r="V43" s="21"/>
    </row>
    <row r="44" spans="1:28" s="13" customFormat="1" ht="12.75" x14ac:dyDescent="0.2">
      <c r="A44" s="49"/>
      <c r="B44" s="49"/>
      <c r="C44" s="7"/>
      <c r="D44" s="7"/>
      <c r="E44" s="7"/>
      <c r="F44" s="7"/>
      <c r="G44" s="7"/>
      <c r="H44" s="7"/>
      <c r="I44" s="7"/>
      <c r="J44" s="107"/>
      <c r="K44" s="108"/>
      <c r="L44" s="109"/>
      <c r="M44" s="5"/>
      <c r="N44" s="21"/>
      <c r="O44" s="21"/>
      <c r="P44" s="21"/>
      <c r="Q44" s="21"/>
      <c r="R44" s="21"/>
      <c r="S44" s="21"/>
      <c r="T44" s="21"/>
      <c r="U44" s="21"/>
      <c r="V44" s="21"/>
    </row>
    <row r="45" spans="1:28" s="13" customFormat="1" ht="12.75" x14ac:dyDescent="0.2">
      <c r="A45" s="49"/>
      <c r="B45" s="49"/>
      <c r="C45" s="7"/>
      <c r="D45" s="7"/>
      <c r="E45" s="7"/>
      <c r="F45" s="7"/>
      <c r="G45" s="7"/>
      <c r="H45" s="7"/>
      <c r="I45" s="7"/>
      <c r="J45" s="107"/>
      <c r="K45" s="108"/>
      <c r="L45" s="109"/>
      <c r="M45" s="5"/>
      <c r="N45" s="21"/>
      <c r="O45" s="21"/>
      <c r="P45" s="21"/>
      <c r="Q45" s="21"/>
      <c r="R45" s="21"/>
      <c r="S45" s="21"/>
      <c r="T45" s="21"/>
      <c r="U45" s="21"/>
      <c r="V45" s="21"/>
    </row>
    <row r="46" spans="1:28" s="13" customFormat="1" ht="12.75" x14ac:dyDescent="0.2">
      <c r="A46" s="49"/>
      <c r="B46" s="49"/>
      <c r="C46" s="7"/>
      <c r="D46" s="7"/>
      <c r="E46" s="7"/>
      <c r="F46" s="7"/>
      <c r="G46" s="7"/>
      <c r="H46" s="7"/>
      <c r="I46" s="7"/>
      <c r="J46" s="107"/>
      <c r="K46" s="108"/>
      <c r="L46" s="109"/>
      <c r="M46" s="5"/>
      <c r="N46" s="21"/>
      <c r="O46" s="21"/>
      <c r="P46" s="21"/>
      <c r="Q46" s="21"/>
      <c r="R46" s="21"/>
      <c r="S46" s="21"/>
      <c r="T46" s="21"/>
      <c r="U46" s="21"/>
      <c r="V46" s="21"/>
    </row>
    <row r="47" spans="1:28" s="13" customFormat="1" ht="12.75" x14ac:dyDescent="0.2">
      <c r="A47" s="49"/>
      <c r="B47" s="49"/>
      <c r="C47" s="7"/>
      <c r="D47" s="7"/>
      <c r="E47" s="7"/>
      <c r="F47" s="7"/>
      <c r="G47" s="7"/>
      <c r="H47" s="7"/>
      <c r="I47" s="7"/>
      <c r="J47" s="107"/>
      <c r="K47" s="108"/>
      <c r="L47" s="109"/>
      <c r="M47" s="5"/>
      <c r="N47" s="21"/>
      <c r="O47" s="21"/>
      <c r="P47" s="21"/>
      <c r="Q47" s="21"/>
      <c r="R47" s="21"/>
      <c r="S47" s="21"/>
      <c r="T47" s="21"/>
      <c r="U47" s="21"/>
      <c r="V47" s="21"/>
    </row>
    <row r="48" spans="1:28" s="13" customFormat="1" ht="12.75" x14ac:dyDescent="0.2">
      <c r="A48" s="49"/>
      <c r="B48" s="49"/>
      <c r="C48" s="7"/>
      <c r="D48" s="7"/>
      <c r="E48" s="7"/>
      <c r="F48" s="7"/>
      <c r="G48" s="7"/>
      <c r="H48" s="7"/>
      <c r="I48" s="7"/>
      <c r="J48" s="107"/>
      <c r="K48" s="108"/>
      <c r="L48" s="109"/>
      <c r="M48" s="5"/>
      <c r="N48" s="21"/>
      <c r="O48" s="21"/>
      <c r="P48" s="21"/>
      <c r="Q48" s="21"/>
      <c r="R48" s="21"/>
      <c r="S48" s="21"/>
      <c r="T48" s="21"/>
      <c r="U48" s="21"/>
      <c r="V48" s="21"/>
    </row>
    <row r="49" spans="1:22" s="3" customFormat="1" ht="21" x14ac:dyDescent="0.35">
      <c r="A49" s="114" t="s">
        <v>52</v>
      </c>
      <c r="B49" s="114"/>
      <c r="C49" s="114"/>
      <c r="D49" s="114"/>
      <c r="E49" s="114"/>
      <c r="F49" s="114"/>
      <c r="G49" s="114"/>
      <c r="H49" s="114"/>
      <c r="I49" s="114"/>
      <c r="J49" s="114"/>
      <c r="K49" s="114"/>
      <c r="L49" s="114"/>
      <c r="N49" s="10"/>
      <c r="O49" s="10"/>
      <c r="P49" s="10"/>
      <c r="Q49" s="10"/>
      <c r="R49" s="10"/>
      <c r="S49" s="10"/>
      <c r="T49" s="10"/>
      <c r="U49" s="10"/>
      <c r="V49" s="10"/>
    </row>
    <row r="50" spans="1:22" s="13" customFormat="1" ht="14.1" customHeight="1" x14ac:dyDescent="0.2">
      <c r="A50" s="154" t="s">
        <v>162</v>
      </c>
      <c r="B50" s="154"/>
      <c r="C50" s="14" t="s">
        <v>30</v>
      </c>
      <c r="D50" s="154" t="s">
        <v>163</v>
      </c>
      <c r="E50" s="154"/>
      <c r="F50" s="154"/>
      <c r="G50" s="154"/>
      <c r="H50" s="154"/>
      <c r="I50" s="14" t="s">
        <v>31</v>
      </c>
      <c r="J50" s="14" t="s">
        <v>165</v>
      </c>
      <c r="K50" s="14" t="s">
        <v>17</v>
      </c>
      <c r="L50" s="15" t="s">
        <v>164</v>
      </c>
      <c r="M50" s="9"/>
      <c r="N50" s="21"/>
      <c r="O50" s="21"/>
      <c r="P50" s="21"/>
      <c r="Q50" s="21"/>
      <c r="R50" s="21"/>
      <c r="S50" s="21"/>
      <c r="T50" s="21"/>
      <c r="U50" s="21"/>
      <c r="V50" s="21"/>
    </row>
    <row r="51" spans="1:22" s="13" customFormat="1" ht="12.75" x14ac:dyDescent="0.2">
      <c r="A51" s="135" t="s">
        <v>37</v>
      </c>
      <c r="B51" s="136"/>
      <c r="C51" s="18"/>
      <c r="D51" s="122" t="s">
        <v>201</v>
      </c>
      <c r="E51" s="123"/>
      <c r="F51" s="123"/>
      <c r="G51" s="123"/>
      <c r="H51" s="124"/>
      <c r="I51" s="18"/>
      <c r="J51" s="8" t="s">
        <v>169</v>
      </c>
      <c r="K51" s="20">
        <v>775</v>
      </c>
      <c r="L51" s="54">
        <f>SUM(I51*K51)</f>
        <v>0</v>
      </c>
      <c r="N51" s="21"/>
      <c r="O51" s="21"/>
      <c r="P51" s="21"/>
      <c r="Q51" s="21"/>
      <c r="R51" s="21"/>
      <c r="S51" s="21"/>
      <c r="T51" s="21"/>
      <c r="U51" s="21"/>
      <c r="V51" s="21"/>
    </row>
    <row r="52" spans="1:22" s="13" customFormat="1" ht="12.75" x14ac:dyDescent="0.2">
      <c r="A52" s="131"/>
      <c r="B52" s="132"/>
      <c r="C52" s="18"/>
      <c r="D52" s="122" t="s">
        <v>202</v>
      </c>
      <c r="E52" s="123"/>
      <c r="F52" s="123"/>
      <c r="G52" s="123"/>
      <c r="H52" s="124"/>
      <c r="I52" s="18"/>
      <c r="J52" s="8" t="s">
        <v>169</v>
      </c>
      <c r="K52" s="20">
        <v>1000</v>
      </c>
      <c r="L52" s="54">
        <f t="shared" ref="L52:L83" si="1">SUM(I52*K52)</f>
        <v>0</v>
      </c>
      <c r="N52" s="21"/>
      <c r="O52" s="21"/>
      <c r="P52" s="21"/>
      <c r="Q52" s="21"/>
      <c r="R52" s="21"/>
      <c r="S52" s="21"/>
      <c r="T52" s="21"/>
      <c r="U52" s="21"/>
      <c r="V52" s="21"/>
    </row>
    <row r="53" spans="1:22" s="13" customFormat="1" ht="12.75" x14ac:dyDescent="0.2">
      <c r="A53" s="131"/>
      <c r="B53" s="132"/>
      <c r="C53" s="18"/>
      <c r="D53" s="122" t="s">
        <v>203</v>
      </c>
      <c r="E53" s="123"/>
      <c r="F53" s="123"/>
      <c r="G53" s="123"/>
      <c r="H53" s="124"/>
      <c r="I53" s="18"/>
      <c r="J53" s="8" t="s">
        <v>169</v>
      </c>
      <c r="K53" s="20">
        <v>225</v>
      </c>
      <c r="L53" s="54">
        <f t="shared" si="1"/>
        <v>0</v>
      </c>
      <c r="N53" s="21"/>
      <c r="O53" s="21"/>
      <c r="P53" s="21"/>
      <c r="Q53" s="21"/>
      <c r="R53" s="21"/>
      <c r="S53" s="21"/>
      <c r="T53" s="21"/>
      <c r="U53" s="21"/>
      <c r="V53" s="21"/>
    </row>
    <row r="54" spans="1:22" s="13" customFormat="1" ht="12.75" x14ac:dyDescent="0.2">
      <c r="A54" s="131"/>
      <c r="B54" s="132"/>
      <c r="C54" s="18"/>
      <c r="D54" s="122" t="s">
        <v>204</v>
      </c>
      <c r="E54" s="123"/>
      <c r="F54" s="123"/>
      <c r="G54" s="123"/>
      <c r="H54" s="124"/>
      <c r="I54" s="18"/>
      <c r="J54" s="8" t="s">
        <v>166</v>
      </c>
      <c r="K54" s="20">
        <v>4</v>
      </c>
      <c r="L54" s="54">
        <f t="shared" si="1"/>
        <v>0</v>
      </c>
      <c r="N54" s="21"/>
      <c r="O54" s="21"/>
      <c r="P54" s="21"/>
      <c r="Q54" s="21"/>
      <c r="R54" s="21"/>
      <c r="S54" s="21"/>
      <c r="T54" s="21"/>
      <c r="U54" s="21"/>
      <c r="V54" s="21"/>
    </row>
    <row r="55" spans="1:22" s="13" customFormat="1" ht="12.75" x14ac:dyDescent="0.2">
      <c r="A55" s="133"/>
      <c r="B55" s="134"/>
      <c r="C55" s="18"/>
      <c r="D55" s="122" t="s">
        <v>205</v>
      </c>
      <c r="E55" s="123"/>
      <c r="F55" s="123"/>
      <c r="G55" s="123"/>
      <c r="H55" s="124"/>
      <c r="I55" s="18"/>
      <c r="J55" s="8" t="s">
        <v>166</v>
      </c>
      <c r="K55" s="20">
        <v>30</v>
      </c>
      <c r="L55" s="54">
        <f t="shared" si="1"/>
        <v>0</v>
      </c>
      <c r="N55" s="21"/>
      <c r="O55" s="21"/>
      <c r="P55" s="21"/>
      <c r="Q55" s="21"/>
      <c r="R55" s="21"/>
      <c r="S55" s="21"/>
      <c r="T55" s="21"/>
      <c r="U55" s="21"/>
      <c r="V55" s="21"/>
    </row>
    <row r="56" spans="1:22" s="13" customFormat="1" ht="12.75" x14ac:dyDescent="0.2">
      <c r="A56" s="135" t="s">
        <v>38</v>
      </c>
      <c r="B56" s="136"/>
      <c r="C56" s="18"/>
      <c r="D56" s="122" t="s">
        <v>206</v>
      </c>
      <c r="E56" s="123"/>
      <c r="F56" s="123"/>
      <c r="G56" s="123"/>
      <c r="H56" s="124"/>
      <c r="I56" s="18"/>
      <c r="J56" s="8" t="s">
        <v>185</v>
      </c>
      <c r="K56" s="20">
        <v>5000</v>
      </c>
      <c r="L56" s="54">
        <f t="shared" si="1"/>
        <v>0</v>
      </c>
      <c r="N56" s="21"/>
      <c r="O56" s="21"/>
      <c r="P56" s="21"/>
      <c r="Q56" s="21"/>
      <c r="R56" s="21"/>
      <c r="S56" s="21"/>
      <c r="T56" s="21"/>
      <c r="U56" s="21"/>
      <c r="V56" s="21"/>
    </row>
    <row r="57" spans="1:22" s="13" customFormat="1" ht="12.75" x14ac:dyDescent="0.2">
      <c r="A57" s="131"/>
      <c r="B57" s="132"/>
      <c r="C57" s="18"/>
      <c r="D57" s="122" t="s">
        <v>207</v>
      </c>
      <c r="E57" s="123"/>
      <c r="F57" s="123"/>
      <c r="G57" s="123"/>
      <c r="H57" s="124"/>
      <c r="I57" s="18"/>
      <c r="J57" s="8" t="s">
        <v>185</v>
      </c>
      <c r="K57" s="20">
        <v>3500</v>
      </c>
      <c r="L57" s="54">
        <f t="shared" si="1"/>
        <v>0</v>
      </c>
      <c r="N57" s="21"/>
      <c r="O57" s="21"/>
      <c r="P57" s="21"/>
      <c r="Q57" s="21"/>
      <c r="R57" s="21"/>
      <c r="S57" s="21"/>
      <c r="T57" s="21"/>
      <c r="U57" s="21"/>
      <c r="V57" s="21"/>
    </row>
    <row r="58" spans="1:22" s="13" customFormat="1" ht="12.75" x14ac:dyDescent="0.2">
      <c r="A58" s="131"/>
      <c r="B58" s="132"/>
      <c r="C58" s="18"/>
      <c r="D58" s="122" t="s">
        <v>208</v>
      </c>
      <c r="E58" s="123"/>
      <c r="F58" s="123"/>
      <c r="G58" s="123"/>
      <c r="H58" s="124"/>
      <c r="I58" s="18"/>
      <c r="J58" s="8" t="s">
        <v>185</v>
      </c>
      <c r="K58" s="20">
        <v>2000</v>
      </c>
      <c r="L58" s="54">
        <f t="shared" si="1"/>
        <v>0</v>
      </c>
      <c r="N58" s="21"/>
      <c r="O58" s="21"/>
      <c r="P58" s="21"/>
      <c r="Q58" s="21"/>
      <c r="R58" s="21"/>
      <c r="S58" s="21"/>
      <c r="T58" s="21"/>
      <c r="U58" s="21"/>
      <c r="V58" s="21"/>
    </row>
    <row r="59" spans="1:22" s="13" customFormat="1" ht="12.75" x14ac:dyDescent="0.2">
      <c r="A59" s="131"/>
      <c r="B59" s="132"/>
      <c r="C59" s="18"/>
      <c r="D59" s="122" t="s">
        <v>209</v>
      </c>
      <c r="E59" s="123"/>
      <c r="F59" s="123"/>
      <c r="G59" s="123"/>
      <c r="H59" s="124"/>
      <c r="I59" s="18"/>
      <c r="J59" s="8" t="s">
        <v>185</v>
      </c>
      <c r="K59" s="20">
        <v>500</v>
      </c>
      <c r="L59" s="54">
        <f t="shared" si="1"/>
        <v>0</v>
      </c>
      <c r="N59" s="21"/>
      <c r="O59" s="21"/>
      <c r="P59" s="21"/>
      <c r="Q59" s="21"/>
      <c r="R59" s="21"/>
      <c r="S59" s="21"/>
      <c r="T59" s="21"/>
      <c r="U59" s="21"/>
      <c r="V59" s="21"/>
    </row>
    <row r="60" spans="1:22" s="13" customFormat="1" ht="12.75" x14ac:dyDescent="0.2">
      <c r="A60" s="131"/>
      <c r="B60" s="132"/>
      <c r="C60" s="18"/>
      <c r="D60" s="122" t="s">
        <v>210</v>
      </c>
      <c r="E60" s="123"/>
      <c r="F60" s="123"/>
      <c r="G60" s="123"/>
      <c r="H60" s="124"/>
      <c r="I60" s="18"/>
      <c r="J60" s="8" t="s">
        <v>169</v>
      </c>
      <c r="K60" s="20">
        <v>500</v>
      </c>
      <c r="L60" s="54">
        <f t="shared" si="1"/>
        <v>0</v>
      </c>
      <c r="N60" s="21"/>
      <c r="O60" s="21"/>
      <c r="P60" s="21"/>
      <c r="Q60" s="21"/>
      <c r="R60" s="21"/>
      <c r="S60" s="21"/>
      <c r="T60" s="21"/>
      <c r="U60" s="21"/>
      <c r="V60" s="21"/>
    </row>
    <row r="61" spans="1:22" s="13" customFormat="1" ht="12.75" x14ac:dyDescent="0.2">
      <c r="A61" s="133"/>
      <c r="B61" s="134"/>
      <c r="C61" s="18"/>
      <c r="D61" s="122" t="s">
        <v>211</v>
      </c>
      <c r="E61" s="123"/>
      <c r="F61" s="123"/>
      <c r="G61" s="123"/>
      <c r="H61" s="124"/>
      <c r="I61" s="18"/>
      <c r="J61" s="8" t="s">
        <v>169</v>
      </c>
      <c r="K61" s="20">
        <v>130</v>
      </c>
      <c r="L61" s="54">
        <f t="shared" si="1"/>
        <v>0</v>
      </c>
      <c r="N61" s="21"/>
      <c r="O61" s="21"/>
      <c r="P61" s="21"/>
      <c r="Q61" s="21"/>
      <c r="R61" s="21"/>
      <c r="S61" s="21"/>
      <c r="T61" s="21"/>
      <c r="U61" s="21"/>
      <c r="V61" s="21"/>
    </row>
    <row r="62" spans="1:22" s="13" customFormat="1" ht="12.75" x14ac:dyDescent="0.2">
      <c r="A62" s="135" t="s">
        <v>16</v>
      </c>
      <c r="B62" s="136"/>
      <c r="C62" s="18"/>
      <c r="D62" s="122" t="s">
        <v>212</v>
      </c>
      <c r="E62" s="123"/>
      <c r="F62" s="123"/>
      <c r="G62" s="123"/>
      <c r="H62" s="124"/>
      <c r="I62" s="18"/>
      <c r="J62" s="8" t="s">
        <v>166</v>
      </c>
      <c r="K62" s="20">
        <v>2</v>
      </c>
      <c r="L62" s="54">
        <f t="shared" si="1"/>
        <v>0</v>
      </c>
      <c r="N62" s="21"/>
      <c r="O62" s="21"/>
      <c r="P62" s="21"/>
      <c r="Q62" s="21"/>
      <c r="R62" s="21"/>
      <c r="S62" s="21"/>
      <c r="T62" s="21"/>
      <c r="U62" s="21"/>
      <c r="V62" s="21"/>
    </row>
    <row r="63" spans="1:22" s="13" customFormat="1" ht="12.75" x14ac:dyDescent="0.2">
      <c r="A63" s="131"/>
      <c r="B63" s="132"/>
      <c r="C63" s="18"/>
      <c r="D63" s="122" t="s">
        <v>213</v>
      </c>
      <c r="E63" s="123"/>
      <c r="F63" s="123"/>
      <c r="G63" s="123"/>
      <c r="H63" s="124"/>
      <c r="I63" s="18"/>
      <c r="J63" s="8" t="s">
        <v>166</v>
      </c>
      <c r="K63" s="20">
        <v>7</v>
      </c>
      <c r="L63" s="54">
        <f t="shared" si="1"/>
        <v>0</v>
      </c>
      <c r="N63" s="21"/>
      <c r="O63" s="21"/>
      <c r="P63" s="21"/>
      <c r="Q63" s="21"/>
      <c r="R63" s="21"/>
      <c r="S63" s="21"/>
      <c r="T63" s="21"/>
      <c r="U63" s="21"/>
      <c r="V63" s="21"/>
    </row>
    <row r="64" spans="1:22" s="13" customFormat="1" ht="12.75" x14ac:dyDescent="0.2">
      <c r="A64" s="131"/>
      <c r="B64" s="132"/>
      <c r="C64" s="18"/>
      <c r="D64" s="122" t="s">
        <v>214</v>
      </c>
      <c r="E64" s="123"/>
      <c r="F64" s="123"/>
      <c r="G64" s="123"/>
      <c r="H64" s="124"/>
      <c r="I64" s="18"/>
      <c r="J64" s="8" t="s">
        <v>166</v>
      </c>
      <c r="K64" s="20">
        <v>4</v>
      </c>
      <c r="L64" s="54">
        <f t="shared" si="1"/>
        <v>0</v>
      </c>
      <c r="N64" s="21"/>
      <c r="O64" s="21"/>
      <c r="P64" s="21"/>
      <c r="Q64" s="21"/>
      <c r="R64" s="21"/>
      <c r="S64" s="21"/>
      <c r="T64" s="21"/>
      <c r="U64" s="21"/>
      <c r="V64" s="21"/>
    </row>
    <row r="65" spans="1:22" s="13" customFormat="1" ht="12.75" x14ac:dyDescent="0.2">
      <c r="A65" s="133"/>
      <c r="B65" s="134"/>
      <c r="C65" s="18"/>
      <c r="D65" s="122" t="s">
        <v>101</v>
      </c>
      <c r="E65" s="123"/>
      <c r="F65" s="123"/>
      <c r="G65" s="123"/>
      <c r="H65" s="124"/>
      <c r="I65" s="18"/>
      <c r="J65" s="8" t="s">
        <v>166</v>
      </c>
      <c r="K65" s="20">
        <v>2</v>
      </c>
      <c r="L65" s="54">
        <f t="shared" si="1"/>
        <v>0</v>
      </c>
      <c r="N65" s="21"/>
      <c r="O65" s="21"/>
      <c r="P65" s="21"/>
      <c r="Q65" s="21"/>
      <c r="R65" s="21"/>
      <c r="S65" s="21"/>
      <c r="T65" s="21"/>
      <c r="U65" s="21"/>
      <c r="V65" s="21"/>
    </row>
    <row r="66" spans="1:22" s="13" customFormat="1" ht="12.75" x14ac:dyDescent="0.2">
      <c r="A66" s="135" t="s">
        <v>39</v>
      </c>
      <c r="B66" s="136"/>
      <c r="C66" s="18"/>
      <c r="D66" s="122" t="s">
        <v>102</v>
      </c>
      <c r="E66" s="123"/>
      <c r="F66" s="123"/>
      <c r="G66" s="123"/>
      <c r="H66" s="124"/>
      <c r="I66" s="18"/>
      <c r="J66" s="8" t="s">
        <v>169</v>
      </c>
      <c r="K66" s="20">
        <v>3000</v>
      </c>
      <c r="L66" s="54">
        <f t="shared" si="1"/>
        <v>0</v>
      </c>
      <c r="N66" s="21"/>
      <c r="O66" s="21"/>
      <c r="P66" s="21"/>
      <c r="Q66" s="21"/>
      <c r="R66" s="21"/>
      <c r="S66" s="21"/>
      <c r="T66" s="21"/>
      <c r="U66" s="21"/>
      <c r="V66" s="21"/>
    </row>
    <row r="67" spans="1:22" s="13" customFormat="1" ht="12.75" x14ac:dyDescent="0.2">
      <c r="A67" s="131"/>
      <c r="B67" s="132"/>
      <c r="C67" s="18"/>
      <c r="D67" s="122" t="s">
        <v>103</v>
      </c>
      <c r="E67" s="123"/>
      <c r="F67" s="123"/>
      <c r="G67" s="123"/>
      <c r="H67" s="124"/>
      <c r="I67" s="18"/>
      <c r="J67" s="8" t="s">
        <v>169</v>
      </c>
      <c r="K67" s="20">
        <v>2000</v>
      </c>
      <c r="L67" s="54">
        <f t="shared" si="1"/>
        <v>0</v>
      </c>
      <c r="N67" s="21"/>
      <c r="O67" s="21"/>
      <c r="P67" s="21"/>
      <c r="Q67" s="21"/>
      <c r="R67" s="21"/>
      <c r="S67" s="21"/>
      <c r="T67" s="21"/>
      <c r="U67" s="21"/>
      <c r="V67" s="21"/>
    </row>
    <row r="68" spans="1:22" s="13" customFormat="1" ht="12.75" x14ac:dyDescent="0.2">
      <c r="A68" s="131"/>
      <c r="B68" s="132"/>
      <c r="C68" s="18"/>
      <c r="D68" s="122" t="s">
        <v>104</v>
      </c>
      <c r="E68" s="123"/>
      <c r="F68" s="123"/>
      <c r="G68" s="123"/>
      <c r="H68" s="124"/>
      <c r="I68" s="18"/>
      <c r="J68" s="8" t="s">
        <v>166</v>
      </c>
      <c r="K68" s="20">
        <v>15</v>
      </c>
      <c r="L68" s="54">
        <f t="shared" si="1"/>
        <v>0</v>
      </c>
      <c r="N68" s="21"/>
      <c r="O68" s="21"/>
      <c r="P68" s="21"/>
      <c r="Q68" s="21"/>
      <c r="R68" s="21"/>
      <c r="S68" s="21"/>
      <c r="T68" s="21"/>
      <c r="U68" s="21"/>
      <c r="V68" s="21"/>
    </row>
    <row r="69" spans="1:22" s="13" customFormat="1" ht="12.75" x14ac:dyDescent="0.2">
      <c r="A69" s="131"/>
      <c r="B69" s="132"/>
      <c r="C69" s="18"/>
      <c r="D69" s="122" t="s">
        <v>105</v>
      </c>
      <c r="E69" s="123"/>
      <c r="F69" s="123"/>
      <c r="G69" s="123"/>
      <c r="H69" s="124"/>
      <c r="I69" s="18"/>
      <c r="J69" s="8" t="s">
        <v>166</v>
      </c>
      <c r="K69" s="20">
        <v>19</v>
      </c>
      <c r="L69" s="54">
        <f t="shared" si="1"/>
        <v>0</v>
      </c>
      <c r="N69" s="21"/>
      <c r="O69" s="21"/>
      <c r="P69" s="21"/>
      <c r="Q69" s="21"/>
      <c r="R69" s="21"/>
      <c r="S69" s="21"/>
      <c r="T69" s="21"/>
      <c r="U69" s="21"/>
      <c r="V69" s="21"/>
    </row>
    <row r="70" spans="1:22" s="13" customFormat="1" ht="12.75" x14ac:dyDescent="0.2">
      <c r="A70" s="131"/>
      <c r="B70" s="132"/>
      <c r="C70" s="18"/>
      <c r="D70" s="122" t="s">
        <v>106</v>
      </c>
      <c r="E70" s="123"/>
      <c r="F70" s="123"/>
      <c r="G70" s="123"/>
      <c r="H70" s="124"/>
      <c r="I70" s="18"/>
      <c r="J70" s="8" t="s">
        <v>166</v>
      </c>
      <c r="K70" s="20">
        <v>7</v>
      </c>
      <c r="L70" s="54">
        <f t="shared" si="1"/>
        <v>0</v>
      </c>
      <c r="N70" s="21"/>
      <c r="O70" s="21"/>
      <c r="P70" s="21"/>
      <c r="Q70" s="21"/>
      <c r="R70" s="21"/>
      <c r="S70" s="21"/>
      <c r="T70" s="21"/>
      <c r="U70" s="21"/>
      <c r="V70" s="21"/>
    </row>
    <row r="71" spans="1:22" s="13" customFormat="1" ht="12.75" x14ac:dyDescent="0.2">
      <c r="A71" s="131"/>
      <c r="B71" s="132"/>
      <c r="C71" s="18"/>
      <c r="D71" s="122" t="s">
        <v>107</v>
      </c>
      <c r="E71" s="123"/>
      <c r="F71" s="123"/>
      <c r="G71" s="123"/>
      <c r="H71" s="124"/>
      <c r="I71" s="18"/>
      <c r="J71" s="8" t="s">
        <v>166</v>
      </c>
      <c r="K71" s="20">
        <v>2</v>
      </c>
      <c r="L71" s="54">
        <f t="shared" si="1"/>
        <v>0</v>
      </c>
      <c r="N71" s="21"/>
      <c r="O71" s="21"/>
      <c r="P71" s="21"/>
      <c r="Q71" s="21"/>
      <c r="R71" s="21"/>
      <c r="S71" s="21"/>
      <c r="T71" s="21"/>
      <c r="U71" s="21"/>
      <c r="V71" s="21"/>
    </row>
    <row r="72" spans="1:22" s="13" customFormat="1" ht="12.75" x14ac:dyDescent="0.2">
      <c r="A72" s="131"/>
      <c r="B72" s="132"/>
      <c r="C72" s="18"/>
      <c r="D72" s="122" t="s">
        <v>108</v>
      </c>
      <c r="E72" s="123"/>
      <c r="F72" s="123"/>
      <c r="G72" s="123"/>
      <c r="H72" s="124"/>
      <c r="I72" s="18"/>
      <c r="J72" s="8" t="s">
        <v>174</v>
      </c>
      <c r="K72" s="20">
        <v>20</v>
      </c>
      <c r="L72" s="54">
        <f t="shared" si="1"/>
        <v>0</v>
      </c>
      <c r="N72" s="21"/>
      <c r="O72" s="21"/>
      <c r="P72" s="21"/>
      <c r="Q72" s="21"/>
      <c r="R72" s="21"/>
      <c r="S72" s="21"/>
      <c r="T72" s="21"/>
      <c r="U72" s="21"/>
      <c r="V72" s="21"/>
    </row>
    <row r="73" spans="1:22" s="13" customFormat="1" ht="12.75" x14ac:dyDescent="0.2">
      <c r="A73" s="133"/>
      <c r="B73" s="134"/>
      <c r="C73" s="18"/>
      <c r="D73" s="122" t="s">
        <v>109</v>
      </c>
      <c r="E73" s="123"/>
      <c r="F73" s="123"/>
      <c r="G73" s="123"/>
      <c r="H73" s="124"/>
      <c r="I73" s="18"/>
      <c r="J73" s="8" t="s">
        <v>174</v>
      </c>
      <c r="K73" s="20">
        <v>40</v>
      </c>
      <c r="L73" s="54">
        <f t="shared" si="1"/>
        <v>0</v>
      </c>
      <c r="N73" s="21"/>
      <c r="O73" s="21"/>
      <c r="P73" s="21"/>
      <c r="Q73" s="21"/>
      <c r="R73" s="21"/>
      <c r="S73" s="21"/>
      <c r="T73" s="21"/>
      <c r="U73" s="21"/>
      <c r="V73" s="21"/>
    </row>
    <row r="74" spans="1:22" s="13" customFormat="1" ht="12.75" x14ac:dyDescent="0.2">
      <c r="A74" s="135" t="s">
        <v>40</v>
      </c>
      <c r="B74" s="136"/>
      <c r="C74" s="18"/>
      <c r="D74" s="122" t="s">
        <v>110</v>
      </c>
      <c r="E74" s="123"/>
      <c r="F74" s="123"/>
      <c r="G74" s="123"/>
      <c r="H74" s="124"/>
      <c r="I74" s="18"/>
      <c r="J74" s="8" t="s">
        <v>169</v>
      </c>
      <c r="K74" s="20">
        <v>2500</v>
      </c>
      <c r="L74" s="54">
        <f t="shared" si="1"/>
        <v>0</v>
      </c>
      <c r="N74" s="21"/>
      <c r="O74" s="21"/>
      <c r="P74" s="21"/>
      <c r="Q74" s="21"/>
      <c r="R74" s="21"/>
      <c r="S74" s="21"/>
      <c r="T74" s="21"/>
      <c r="U74" s="21"/>
      <c r="V74" s="21"/>
    </row>
    <row r="75" spans="1:22" s="13" customFormat="1" ht="12.75" x14ac:dyDescent="0.2">
      <c r="A75" s="133"/>
      <c r="B75" s="134"/>
      <c r="C75" s="18"/>
      <c r="D75" s="122" t="s">
        <v>111</v>
      </c>
      <c r="E75" s="123"/>
      <c r="F75" s="123"/>
      <c r="G75" s="123"/>
      <c r="H75" s="124"/>
      <c r="I75" s="18"/>
      <c r="J75" s="8" t="s">
        <v>169</v>
      </c>
      <c r="K75" s="20">
        <v>2000</v>
      </c>
      <c r="L75" s="54">
        <f t="shared" si="1"/>
        <v>0</v>
      </c>
      <c r="N75" s="21"/>
      <c r="O75" s="21"/>
      <c r="P75" s="21"/>
      <c r="Q75" s="21"/>
      <c r="R75" s="21"/>
      <c r="S75" s="21"/>
      <c r="T75" s="21"/>
      <c r="U75" s="21"/>
      <c r="V75" s="21"/>
    </row>
    <row r="76" spans="1:22" s="13" customFormat="1" ht="12.75" x14ac:dyDescent="0.2">
      <c r="A76" s="135" t="s">
        <v>41</v>
      </c>
      <c r="B76" s="136"/>
      <c r="C76" s="18"/>
      <c r="D76" s="122" t="s">
        <v>112</v>
      </c>
      <c r="E76" s="123"/>
      <c r="F76" s="123"/>
      <c r="G76" s="123"/>
      <c r="H76" s="124"/>
      <c r="I76" s="18"/>
      <c r="J76" s="8" t="s">
        <v>174</v>
      </c>
      <c r="K76" s="20">
        <v>15</v>
      </c>
      <c r="L76" s="54">
        <f t="shared" si="1"/>
        <v>0</v>
      </c>
      <c r="N76" s="21"/>
      <c r="O76" s="21"/>
      <c r="P76" s="21"/>
      <c r="Q76" s="21"/>
      <c r="R76" s="21"/>
      <c r="S76" s="21"/>
      <c r="T76" s="21"/>
      <c r="U76" s="21"/>
      <c r="V76" s="21"/>
    </row>
    <row r="77" spans="1:22" s="13" customFormat="1" ht="12.75" x14ac:dyDescent="0.2">
      <c r="A77" s="131"/>
      <c r="B77" s="132"/>
      <c r="C77" s="18"/>
      <c r="D77" s="122" t="s">
        <v>113</v>
      </c>
      <c r="E77" s="123"/>
      <c r="F77" s="123"/>
      <c r="G77" s="123"/>
      <c r="H77" s="124"/>
      <c r="I77" s="18"/>
      <c r="J77" s="8" t="s">
        <v>174</v>
      </c>
      <c r="K77" s="20">
        <v>45</v>
      </c>
      <c r="L77" s="54">
        <f t="shared" si="1"/>
        <v>0</v>
      </c>
      <c r="N77" s="21"/>
      <c r="O77" s="21"/>
      <c r="P77" s="21"/>
      <c r="Q77" s="21"/>
      <c r="R77" s="21"/>
      <c r="S77" s="21"/>
      <c r="T77" s="21"/>
      <c r="U77" s="21"/>
      <c r="V77" s="21"/>
    </row>
    <row r="78" spans="1:22" s="13" customFormat="1" ht="12.75" x14ac:dyDescent="0.2">
      <c r="A78" s="133"/>
      <c r="B78" s="134"/>
      <c r="C78" s="18"/>
      <c r="D78" s="122" t="s">
        <v>257</v>
      </c>
      <c r="E78" s="123"/>
      <c r="F78" s="123"/>
      <c r="G78" s="123"/>
      <c r="H78" s="124"/>
      <c r="I78" s="18"/>
      <c r="J78" s="8" t="s">
        <v>174</v>
      </c>
      <c r="K78" s="20">
        <v>8</v>
      </c>
      <c r="L78" s="54">
        <f t="shared" si="1"/>
        <v>0</v>
      </c>
      <c r="N78" s="21"/>
      <c r="O78" s="21"/>
      <c r="P78" s="21"/>
      <c r="Q78" s="21"/>
      <c r="R78" s="21"/>
      <c r="S78" s="21"/>
      <c r="T78" s="21"/>
      <c r="U78" s="21"/>
      <c r="V78" s="21"/>
    </row>
    <row r="79" spans="1:22" s="13" customFormat="1" ht="12.75" x14ac:dyDescent="0.2">
      <c r="A79" s="135" t="s">
        <v>218</v>
      </c>
      <c r="B79" s="136"/>
      <c r="C79" s="18"/>
      <c r="D79" s="122" t="s">
        <v>114</v>
      </c>
      <c r="E79" s="123"/>
      <c r="F79" s="123"/>
      <c r="G79" s="123"/>
      <c r="H79" s="124"/>
      <c r="I79" s="18"/>
      <c r="J79" s="8" t="s">
        <v>169</v>
      </c>
      <c r="K79" s="20">
        <v>10000</v>
      </c>
      <c r="L79" s="54">
        <f t="shared" si="1"/>
        <v>0</v>
      </c>
      <c r="N79" s="21"/>
      <c r="O79" s="21"/>
      <c r="P79" s="21"/>
      <c r="Q79" s="21"/>
      <c r="R79" s="21"/>
      <c r="S79" s="21"/>
      <c r="T79" s="21"/>
      <c r="U79" s="21"/>
      <c r="V79" s="21"/>
    </row>
    <row r="80" spans="1:22" s="13" customFormat="1" ht="12.75" x14ac:dyDescent="0.2">
      <c r="A80" s="161" t="s">
        <v>254</v>
      </c>
      <c r="B80" s="178"/>
      <c r="C80" s="18"/>
      <c r="D80" s="122" t="s">
        <v>115</v>
      </c>
      <c r="E80" s="123"/>
      <c r="F80" s="123"/>
      <c r="G80" s="123"/>
      <c r="H80" s="124"/>
      <c r="I80" s="18"/>
      <c r="J80" s="8" t="s">
        <v>169</v>
      </c>
      <c r="K80" s="20">
        <v>4500</v>
      </c>
      <c r="L80" s="54">
        <f t="shared" si="1"/>
        <v>0</v>
      </c>
      <c r="N80" s="21"/>
      <c r="O80" s="21"/>
      <c r="P80" s="21"/>
      <c r="Q80" s="21"/>
      <c r="R80" s="21"/>
      <c r="S80" s="21"/>
      <c r="T80" s="21"/>
      <c r="U80" s="21"/>
      <c r="V80" s="21"/>
    </row>
    <row r="81" spans="1:22" s="13" customFormat="1" ht="12.75" x14ac:dyDescent="0.2">
      <c r="A81" s="135" t="s">
        <v>219</v>
      </c>
      <c r="B81" s="136"/>
      <c r="C81" s="18"/>
      <c r="D81" s="122" t="s">
        <v>117</v>
      </c>
      <c r="E81" s="123"/>
      <c r="F81" s="123"/>
      <c r="G81" s="123"/>
      <c r="H81" s="124"/>
      <c r="I81" s="18"/>
      <c r="J81" s="8" t="s">
        <v>169</v>
      </c>
      <c r="K81" s="20">
        <v>15000</v>
      </c>
      <c r="L81" s="54">
        <f t="shared" si="1"/>
        <v>0</v>
      </c>
      <c r="N81" s="21"/>
      <c r="O81" s="21"/>
      <c r="P81" s="21"/>
      <c r="Q81" s="21"/>
      <c r="R81" s="21"/>
      <c r="S81" s="21"/>
      <c r="T81" s="21"/>
      <c r="U81" s="21"/>
      <c r="V81" s="21"/>
    </row>
    <row r="82" spans="1:22" s="13" customFormat="1" ht="12.75" x14ac:dyDescent="0.2">
      <c r="A82" s="112" t="s">
        <v>248</v>
      </c>
      <c r="B82" s="113"/>
      <c r="C82" s="18"/>
      <c r="D82" s="122" t="s">
        <v>118</v>
      </c>
      <c r="E82" s="123"/>
      <c r="F82" s="123"/>
      <c r="G82" s="123"/>
      <c r="H82" s="124"/>
      <c r="I82" s="18"/>
      <c r="J82" s="8" t="s">
        <v>169</v>
      </c>
      <c r="K82" s="20">
        <v>5500</v>
      </c>
      <c r="L82" s="54">
        <f t="shared" si="1"/>
        <v>0</v>
      </c>
      <c r="N82" s="21"/>
      <c r="O82" s="21"/>
      <c r="P82" s="21"/>
      <c r="Q82" s="21"/>
      <c r="R82" s="21"/>
      <c r="S82" s="21"/>
      <c r="T82" s="21"/>
      <c r="U82" s="21"/>
      <c r="V82" s="21"/>
    </row>
    <row r="83" spans="1:22" s="13" customFormat="1" ht="12.75" x14ac:dyDescent="0.2">
      <c r="A83" s="179"/>
      <c r="B83" s="180"/>
      <c r="C83" s="18"/>
      <c r="D83" s="122" t="s">
        <v>119</v>
      </c>
      <c r="E83" s="123"/>
      <c r="F83" s="123"/>
      <c r="G83" s="123"/>
      <c r="H83" s="124"/>
      <c r="I83" s="18"/>
      <c r="J83" s="8" t="s">
        <v>169</v>
      </c>
      <c r="K83" s="20">
        <v>3000</v>
      </c>
      <c r="L83" s="54">
        <f t="shared" si="1"/>
        <v>0</v>
      </c>
      <c r="N83" s="21"/>
      <c r="O83" s="21"/>
      <c r="P83" s="21"/>
      <c r="Q83" s="21"/>
      <c r="R83" s="21"/>
      <c r="S83" s="21"/>
      <c r="T83" s="21"/>
      <c r="U83" s="21"/>
      <c r="V83" s="21"/>
    </row>
    <row r="84" spans="1:22" s="3" customFormat="1" x14ac:dyDescent="0.25">
      <c r="A84" s="34"/>
      <c r="B84" s="34"/>
      <c r="C84" s="2"/>
      <c r="D84" s="34"/>
      <c r="E84" s="2"/>
      <c r="F84" s="2"/>
      <c r="G84" s="35"/>
      <c r="N84" s="10"/>
      <c r="O84" s="10"/>
      <c r="P84" s="10"/>
      <c r="Q84" s="10"/>
      <c r="R84" s="10"/>
      <c r="S84" s="10"/>
      <c r="T84" s="10"/>
      <c r="U84" s="10"/>
      <c r="V84" s="10"/>
    </row>
    <row r="85" spans="1:22" s="3" customFormat="1" x14ac:dyDescent="0.25">
      <c r="A85" s="146" t="s">
        <v>53</v>
      </c>
      <c r="B85" s="146"/>
      <c r="C85" s="146"/>
      <c r="D85" s="146"/>
      <c r="E85" s="146"/>
      <c r="F85" s="146"/>
      <c r="G85" s="146"/>
      <c r="H85" s="146"/>
      <c r="I85" s="146"/>
      <c r="J85" s="146"/>
      <c r="K85" s="146"/>
      <c r="L85" s="146"/>
      <c r="N85" s="10"/>
      <c r="O85" s="10"/>
      <c r="P85" s="10"/>
      <c r="Q85" s="10"/>
      <c r="R85" s="10"/>
      <c r="S85" s="10"/>
      <c r="T85" s="10"/>
      <c r="U85" s="10"/>
      <c r="V85" s="10"/>
    </row>
    <row r="86" spans="1:22" s="3" customFormat="1" x14ac:dyDescent="0.25">
      <c r="A86" s="145"/>
      <c r="B86" s="145"/>
      <c r="C86" s="145"/>
      <c r="D86" s="145"/>
      <c r="E86" s="145"/>
      <c r="F86" s="145"/>
      <c r="G86" s="145"/>
      <c r="H86" s="145"/>
      <c r="I86" s="145"/>
      <c r="J86" s="145"/>
      <c r="K86" s="145"/>
      <c r="L86" s="145"/>
      <c r="N86" s="10"/>
      <c r="O86" s="10"/>
      <c r="P86" s="10"/>
      <c r="Q86" s="10"/>
      <c r="R86" s="10"/>
      <c r="S86" s="10"/>
      <c r="T86" s="10"/>
      <c r="U86" s="10"/>
      <c r="V86" s="10"/>
    </row>
    <row r="87" spans="1:22" s="3" customFormat="1" x14ac:dyDescent="0.25">
      <c r="A87" s="144"/>
      <c r="B87" s="144"/>
      <c r="C87" s="144"/>
      <c r="D87" s="144"/>
      <c r="E87" s="144"/>
      <c r="F87" s="144"/>
      <c r="G87" s="144"/>
      <c r="H87" s="144"/>
      <c r="I87" s="144"/>
      <c r="J87" s="144"/>
      <c r="K87" s="144"/>
      <c r="L87" s="144"/>
      <c r="N87" s="10"/>
      <c r="O87" s="10"/>
      <c r="P87" s="10"/>
      <c r="Q87" s="10"/>
      <c r="R87" s="10"/>
      <c r="S87" s="10"/>
      <c r="T87" s="10"/>
      <c r="U87" s="10"/>
      <c r="V87" s="10"/>
    </row>
    <row r="88" spans="1:22" s="3" customFormat="1" x14ac:dyDescent="0.25">
      <c r="A88" s="144"/>
      <c r="B88" s="144"/>
      <c r="C88" s="144"/>
      <c r="D88" s="144"/>
      <c r="E88" s="144"/>
      <c r="F88" s="144"/>
      <c r="G88" s="144"/>
      <c r="H88" s="144"/>
      <c r="I88" s="144"/>
      <c r="J88" s="144"/>
      <c r="K88" s="144"/>
      <c r="L88" s="144"/>
      <c r="N88" s="10"/>
      <c r="O88" s="10"/>
      <c r="P88" s="10"/>
      <c r="Q88" s="10"/>
      <c r="R88" s="10"/>
      <c r="S88" s="10"/>
      <c r="T88" s="10"/>
      <c r="U88" s="10"/>
      <c r="V88" s="10"/>
    </row>
    <row r="89" spans="1:22" s="3" customFormat="1" x14ac:dyDescent="0.25">
      <c r="A89" s="144"/>
      <c r="B89" s="144"/>
      <c r="C89" s="144"/>
      <c r="D89" s="144"/>
      <c r="E89" s="144"/>
      <c r="F89" s="144"/>
      <c r="G89" s="144"/>
      <c r="H89" s="144"/>
      <c r="I89" s="144"/>
      <c r="J89" s="144"/>
      <c r="K89" s="144"/>
      <c r="L89" s="144"/>
      <c r="N89" s="10"/>
      <c r="O89" s="10"/>
      <c r="P89" s="10"/>
      <c r="Q89" s="10"/>
      <c r="R89" s="10"/>
      <c r="S89" s="10"/>
      <c r="T89" s="10"/>
      <c r="U89" s="10"/>
      <c r="V89" s="10"/>
    </row>
    <row r="90" spans="1:22" s="3" customFormat="1" x14ac:dyDescent="0.25">
      <c r="A90" s="144"/>
      <c r="B90" s="144"/>
      <c r="C90" s="144"/>
      <c r="D90" s="144"/>
      <c r="E90" s="144"/>
      <c r="F90" s="144"/>
      <c r="G90" s="144"/>
      <c r="H90" s="144"/>
      <c r="I90" s="144"/>
      <c r="J90" s="144"/>
      <c r="K90" s="144"/>
      <c r="L90" s="144"/>
      <c r="N90" s="10"/>
      <c r="O90" s="10"/>
      <c r="P90" s="10"/>
      <c r="Q90" s="10"/>
      <c r="R90" s="10"/>
      <c r="S90" s="10"/>
      <c r="T90" s="10"/>
      <c r="U90" s="10"/>
      <c r="V90" s="10"/>
    </row>
    <row r="91" spans="1:22" s="3" customFormat="1" x14ac:dyDescent="0.25">
      <c r="A91" s="144"/>
      <c r="B91" s="144"/>
      <c r="C91" s="144"/>
      <c r="D91" s="144"/>
      <c r="E91" s="144"/>
      <c r="F91" s="144"/>
      <c r="G91" s="144"/>
      <c r="H91" s="144"/>
      <c r="I91" s="144"/>
      <c r="J91" s="144"/>
      <c r="K91" s="144"/>
      <c r="L91" s="144"/>
      <c r="N91" s="10"/>
      <c r="O91" s="10"/>
      <c r="P91" s="10"/>
      <c r="Q91" s="10"/>
      <c r="R91" s="10"/>
      <c r="S91" s="10"/>
      <c r="T91" s="10"/>
      <c r="U91" s="10"/>
      <c r="V91" s="10"/>
    </row>
    <row r="92" spans="1:22" s="3" customFormat="1" x14ac:dyDescent="0.25">
      <c r="A92" s="144"/>
      <c r="B92" s="144"/>
      <c r="C92" s="144"/>
      <c r="D92" s="144"/>
      <c r="E92" s="144"/>
      <c r="F92" s="144"/>
      <c r="G92" s="144"/>
      <c r="H92" s="144"/>
      <c r="I92" s="144"/>
      <c r="J92" s="144"/>
      <c r="K92" s="144"/>
      <c r="L92" s="144"/>
      <c r="N92" s="10"/>
      <c r="O92" s="10"/>
      <c r="P92" s="10"/>
      <c r="Q92" s="10"/>
      <c r="R92" s="10"/>
      <c r="S92" s="10"/>
      <c r="T92" s="10"/>
      <c r="U92" s="10"/>
      <c r="V92" s="10"/>
    </row>
    <row r="93" spans="1:22" s="3" customFormat="1" x14ac:dyDescent="0.25">
      <c r="A93" s="144"/>
      <c r="B93" s="144"/>
      <c r="C93" s="144"/>
      <c r="D93" s="144"/>
      <c r="E93" s="144"/>
      <c r="F93" s="144"/>
      <c r="G93" s="144"/>
      <c r="H93" s="144"/>
      <c r="I93" s="144"/>
      <c r="J93" s="144"/>
      <c r="K93" s="144"/>
      <c r="L93" s="144"/>
      <c r="N93" s="10"/>
      <c r="O93" s="10"/>
      <c r="P93" s="10"/>
      <c r="Q93" s="10"/>
      <c r="R93" s="10"/>
      <c r="S93" s="10"/>
      <c r="T93" s="10"/>
      <c r="U93" s="10"/>
      <c r="V93" s="10"/>
    </row>
    <row r="94" spans="1:22" s="3" customFormat="1" x14ac:dyDescent="0.25">
      <c r="A94" s="144"/>
      <c r="B94" s="144"/>
      <c r="C94" s="144"/>
      <c r="D94" s="144"/>
      <c r="E94" s="144"/>
      <c r="F94" s="144"/>
      <c r="G94" s="144"/>
      <c r="H94" s="144"/>
      <c r="I94" s="144"/>
      <c r="J94" s="144"/>
      <c r="K94" s="144"/>
      <c r="L94" s="144"/>
      <c r="N94" s="10"/>
      <c r="O94" s="10"/>
      <c r="P94" s="10"/>
      <c r="Q94" s="10"/>
      <c r="R94" s="10"/>
      <c r="S94" s="10"/>
      <c r="T94" s="10"/>
      <c r="U94" s="10"/>
      <c r="V94" s="10"/>
    </row>
    <row r="95" spans="1:22" s="5" customFormat="1" ht="14.1" customHeight="1" x14ac:dyDescent="0.2">
      <c r="A95" s="7"/>
      <c r="B95" s="7"/>
      <c r="C95" s="7"/>
      <c r="D95" s="7"/>
      <c r="E95" s="7"/>
      <c r="F95" s="7"/>
      <c r="G95" s="7"/>
      <c r="H95" s="7"/>
      <c r="I95" s="7"/>
      <c r="J95" s="7"/>
      <c r="K95" s="7"/>
      <c r="L95" s="7"/>
      <c r="N95" s="9"/>
      <c r="O95" s="9"/>
      <c r="P95" s="9"/>
      <c r="Q95" s="9"/>
      <c r="R95" s="9"/>
      <c r="S95" s="9"/>
      <c r="T95" s="9"/>
      <c r="U95" s="9"/>
      <c r="V95" s="9"/>
    </row>
    <row r="96" spans="1:22" s="5" customFormat="1" ht="14.1" customHeight="1" x14ac:dyDescent="0.2">
      <c r="A96" s="7"/>
      <c r="B96" s="7"/>
      <c r="C96" s="7"/>
      <c r="D96" s="7"/>
      <c r="E96" s="7"/>
      <c r="F96" s="7"/>
      <c r="G96" s="7"/>
      <c r="H96" s="7"/>
      <c r="I96" s="7"/>
      <c r="J96" s="7"/>
      <c r="K96" s="7"/>
      <c r="L96" s="7"/>
      <c r="N96" s="9"/>
      <c r="O96" s="9"/>
      <c r="P96" s="9"/>
      <c r="Q96" s="9"/>
      <c r="R96" s="9"/>
      <c r="S96" s="9"/>
      <c r="T96" s="9"/>
      <c r="U96" s="9"/>
      <c r="V96" s="9"/>
    </row>
    <row r="97" spans="1:22" s="5" customFormat="1" ht="14.1" customHeight="1" x14ac:dyDescent="0.2">
      <c r="A97" s="7"/>
      <c r="B97" s="7"/>
      <c r="C97" s="7"/>
      <c r="D97" s="7"/>
      <c r="E97" s="7"/>
      <c r="F97" s="7"/>
      <c r="G97" s="7"/>
      <c r="H97" s="7"/>
      <c r="I97" s="7"/>
      <c r="J97" s="7"/>
      <c r="K97" s="7"/>
      <c r="L97" s="7"/>
      <c r="N97" s="9"/>
      <c r="O97" s="9"/>
      <c r="P97" s="9"/>
      <c r="Q97" s="9"/>
      <c r="R97" s="9"/>
      <c r="S97" s="9"/>
      <c r="T97" s="9"/>
      <c r="U97" s="9"/>
      <c r="V97" s="9"/>
    </row>
    <row r="98" spans="1:22" s="5" customFormat="1" ht="14.1" customHeight="1" x14ac:dyDescent="0.2">
      <c r="A98" s="7"/>
      <c r="B98" s="7"/>
      <c r="C98" s="7"/>
      <c r="D98" s="7"/>
      <c r="E98" s="7"/>
      <c r="F98" s="7"/>
      <c r="G98" s="7"/>
      <c r="H98" s="7"/>
      <c r="I98" s="7"/>
      <c r="J98" s="7"/>
      <c r="K98" s="7"/>
      <c r="L98" s="7"/>
      <c r="N98" s="9"/>
      <c r="O98" s="9"/>
      <c r="P98" s="9"/>
      <c r="Q98" s="9"/>
      <c r="R98" s="9"/>
      <c r="S98" s="9"/>
      <c r="T98" s="9"/>
      <c r="U98" s="9"/>
      <c r="V98" s="9"/>
    </row>
    <row r="99" spans="1:22" s="5" customFormat="1" ht="14.1" customHeight="1" x14ac:dyDescent="0.2">
      <c r="A99" s="7"/>
      <c r="B99" s="7"/>
      <c r="C99" s="7"/>
      <c r="D99" s="7"/>
      <c r="E99" s="7"/>
      <c r="F99" s="7"/>
      <c r="G99" s="7"/>
      <c r="H99" s="7"/>
      <c r="I99" s="7"/>
      <c r="J99" s="7"/>
      <c r="K99" s="7"/>
      <c r="L99" s="7"/>
      <c r="N99" s="9"/>
      <c r="O99" s="9"/>
      <c r="P99" s="9"/>
      <c r="Q99" s="9"/>
      <c r="R99" s="9"/>
      <c r="S99" s="9"/>
      <c r="T99" s="9"/>
      <c r="U99" s="9"/>
      <c r="V99" s="9"/>
    </row>
    <row r="100" spans="1:22" s="5" customFormat="1" ht="14.1" customHeight="1" x14ac:dyDescent="0.2">
      <c r="A100" s="7"/>
      <c r="B100" s="7"/>
      <c r="C100" s="7"/>
      <c r="D100" s="7"/>
      <c r="E100" s="7"/>
      <c r="F100" s="7"/>
      <c r="G100" s="7"/>
      <c r="H100" s="7"/>
      <c r="I100" s="7"/>
      <c r="J100" s="7"/>
      <c r="K100" s="7"/>
      <c r="L100" s="7"/>
      <c r="N100" s="9"/>
      <c r="O100" s="9"/>
      <c r="P100" s="9"/>
      <c r="Q100" s="9"/>
      <c r="R100" s="9"/>
      <c r="S100" s="9"/>
      <c r="T100" s="9"/>
      <c r="U100" s="9"/>
      <c r="V100" s="9"/>
    </row>
    <row r="101" spans="1:22" s="5" customFormat="1" ht="14.1" customHeight="1" x14ac:dyDescent="0.2">
      <c r="A101" s="7"/>
      <c r="B101" s="7"/>
      <c r="C101" s="7"/>
      <c r="D101" s="7"/>
      <c r="E101" s="7"/>
      <c r="F101" s="7"/>
      <c r="G101" s="7"/>
      <c r="H101" s="7"/>
      <c r="I101" s="7"/>
      <c r="J101" s="7"/>
      <c r="K101" s="7"/>
      <c r="L101" s="7"/>
      <c r="N101" s="9"/>
      <c r="O101" s="9"/>
      <c r="P101" s="9"/>
      <c r="Q101" s="9"/>
      <c r="R101" s="9"/>
      <c r="S101" s="9"/>
      <c r="T101" s="9"/>
      <c r="U101" s="9"/>
      <c r="V101" s="9"/>
    </row>
    <row r="102" spans="1:22" s="5" customFormat="1" ht="14.1" customHeight="1" x14ac:dyDescent="0.2">
      <c r="A102" s="7"/>
      <c r="B102" s="7"/>
      <c r="C102" s="7"/>
      <c r="D102" s="7"/>
      <c r="E102" s="7"/>
      <c r="F102" s="7"/>
      <c r="G102" s="7"/>
      <c r="H102" s="7"/>
      <c r="I102" s="7"/>
      <c r="J102" s="7"/>
      <c r="K102" s="7"/>
      <c r="L102" s="7"/>
      <c r="N102" s="9"/>
      <c r="O102" s="9"/>
      <c r="P102" s="9"/>
      <c r="Q102" s="9"/>
      <c r="R102" s="9"/>
      <c r="S102" s="9"/>
      <c r="T102" s="9"/>
      <c r="U102" s="9"/>
      <c r="V102" s="9"/>
    </row>
    <row r="103" spans="1:22" s="5" customFormat="1" ht="14.1" customHeight="1" x14ac:dyDescent="0.2">
      <c r="A103" s="9"/>
      <c r="B103" s="9"/>
      <c r="C103" s="9"/>
      <c r="D103" s="9"/>
      <c r="E103" s="9"/>
      <c r="F103" s="9"/>
      <c r="G103" s="9"/>
      <c r="H103" s="9"/>
      <c r="I103" s="9"/>
      <c r="J103" s="9"/>
      <c r="K103" s="9"/>
      <c r="L103" s="9"/>
      <c r="N103" s="9"/>
      <c r="O103" s="9"/>
      <c r="P103" s="9"/>
      <c r="Q103" s="9"/>
      <c r="R103" s="9"/>
      <c r="S103" s="9"/>
      <c r="T103" s="9"/>
      <c r="U103" s="9"/>
      <c r="V103" s="9"/>
    </row>
    <row r="104" spans="1:22" s="3" customFormat="1" ht="18" customHeight="1" x14ac:dyDescent="0.35">
      <c r="A104" s="114" t="s">
        <v>28</v>
      </c>
      <c r="B104" s="114"/>
      <c r="C104" s="114"/>
      <c r="D104" s="114"/>
      <c r="E104" s="114"/>
      <c r="F104" s="114"/>
      <c r="G104" s="114"/>
      <c r="H104" s="114"/>
      <c r="I104" s="114"/>
      <c r="J104" s="114"/>
      <c r="K104" s="114"/>
      <c r="L104" s="114"/>
      <c r="N104" s="10"/>
      <c r="O104" s="10"/>
      <c r="P104" s="10"/>
      <c r="Q104" s="10"/>
      <c r="R104" s="10"/>
      <c r="S104" s="10"/>
      <c r="T104" s="10"/>
      <c r="U104" s="10"/>
      <c r="V104" s="10"/>
    </row>
    <row r="105" spans="1:22" s="13" customFormat="1" ht="14.1" customHeight="1" x14ac:dyDescent="0.2">
      <c r="A105" s="154" t="s">
        <v>162</v>
      </c>
      <c r="B105" s="154"/>
      <c r="C105" s="14" t="s">
        <v>30</v>
      </c>
      <c r="D105" s="154" t="s">
        <v>163</v>
      </c>
      <c r="E105" s="154"/>
      <c r="F105" s="154"/>
      <c r="G105" s="154"/>
      <c r="H105" s="154"/>
      <c r="I105" s="14" t="s">
        <v>31</v>
      </c>
      <c r="J105" s="14" t="s">
        <v>165</v>
      </c>
      <c r="K105" s="14" t="s">
        <v>17</v>
      </c>
      <c r="L105" s="15" t="s">
        <v>164</v>
      </c>
      <c r="M105" s="9"/>
      <c r="N105" s="21"/>
      <c r="O105" s="21"/>
      <c r="P105" s="21"/>
      <c r="Q105" s="21"/>
      <c r="R105" s="21"/>
      <c r="S105" s="21"/>
      <c r="T105" s="21"/>
      <c r="U105" s="21"/>
      <c r="V105" s="21"/>
    </row>
    <row r="106" spans="1:22" s="13" customFormat="1" ht="14.1" customHeight="1" x14ac:dyDescent="0.2">
      <c r="A106" s="135" t="s">
        <v>35</v>
      </c>
      <c r="B106" s="136"/>
      <c r="C106" s="18"/>
      <c r="D106" s="122" t="s">
        <v>120</v>
      </c>
      <c r="E106" s="123"/>
      <c r="F106" s="123"/>
      <c r="G106" s="123"/>
      <c r="H106" s="124"/>
      <c r="I106" s="18"/>
      <c r="J106" s="8" t="s">
        <v>166</v>
      </c>
      <c r="K106" s="20">
        <v>1</v>
      </c>
      <c r="L106" s="54">
        <f>SUM(I106*K106)</f>
        <v>0</v>
      </c>
      <c r="N106" s="21"/>
      <c r="O106" s="21"/>
      <c r="P106" s="21"/>
      <c r="Q106" s="21"/>
      <c r="R106" s="21"/>
      <c r="S106" s="21"/>
      <c r="T106" s="21"/>
      <c r="U106" s="21"/>
      <c r="V106" s="21"/>
    </row>
    <row r="107" spans="1:22" s="13" customFormat="1" ht="14.1" customHeight="1" x14ac:dyDescent="0.2">
      <c r="A107" s="133"/>
      <c r="B107" s="134"/>
      <c r="C107" s="18"/>
      <c r="D107" s="122" t="s">
        <v>121</v>
      </c>
      <c r="E107" s="123"/>
      <c r="F107" s="123"/>
      <c r="G107" s="123"/>
      <c r="H107" s="124"/>
      <c r="I107" s="18"/>
      <c r="J107" s="8" t="s">
        <v>166</v>
      </c>
      <c r="K107" s="20">
        <v>0.5</v>
      </c>
      <c r="L107" s="54">
        <f t="shared" ref="L107:L153" si="2">SUM(I107*K107)</f>
        <v>0</v>
      </c>
      <c r="N107" s="21"/>
      <c r="O107" s="21"/>
      <c r="P107" s="21"/>
      <c r="Q107" s="21"/>
      <c r="R107" s="21"/>
      <c r="S107" s="21"/>
      <c r="T107" s="21"/>
      <c r="U107" s="21"/>
      <c r="V107" s="21"/>
    </row>
    <row r="108" spans="1:22" s="13" customFormat="1" ht="14.1" customHeight="1" x14ac:dyDescent="0.2">
      <c r="A108" s="135" t="s">
        <v>42</v>
      </c>
      <c r="B108" s="136"/>
      <c r="C108" s="18"/>
      <c r="D108" s="122" t="s">
        <v>122</v>
      </c>
      <c r="E108" s="123"/>
      <c r="F108" s="123"/>
      <c r="G108" s="123"/>
      <c r="H108" s="124"/>
      <c r="I108" s="18"/>
      <c r="J108" s="8" t="s">
        <v>166</v>
      </c>
      <c r="K108" s="20">
        <v>7</v>
      </c>
      <c r="L108" s="54">
        <f t="shared" si="2"/>
        <v>0</v>
      </c>
      <c r="N108" s="21"/>
      <c r="O108" s="21"/>
      <c r="P108" s="21"/>
      <c r="Q108" s="21"/>
      <c r="R108" s="21"/>
      <c r="S108" s="21"/>
      <c r="T108" s="21"/>
      <c r="U108" s="21"/>
      <c r="V108" s="21"/>
    </row>
    <row r="109" spans="1:22" s="13" customFormat="1" ht="14.1" customHeight="1" x14ac:dyDescent="0.2">
      <c r="A109" s="131"/>
      <c r="B109" s="132"/>
      <c r="C109" s="18"/>
      <c r="D109" s="122" t="s">
        <v>123</v>
      </c>
      <c r="E109" s="123"/>
      <c r="F109" s="123"/>
      <c r="G109" s="123"/>
      <c r="H109" s="124"/>
      <c r="I109" s="18"/>
      <c r="J109" s="8" t="s">
        <v>166</v>
      </c>
      <c r="K109" s="20">
        <v>6</v>
      </c>
      <c r="L109" s="54">
        <f t="shared" si="2"/>
        <v>0</v>
      </c>
      <c r="N109" s="21"/>
      <c r="O109" s="21"/>
      <c r="P109" s="21"/>
      <c r="Q109" s="21"/>
      <c r="R109" s="21"/>
      <c r="S109" s="21"/>
      <c r="T109" s="21"/>
      <c r="U109" s="21"/>
      <c r="V109" s="21"/>
    </row>
    <row r="110" spans="1:22" s="13" customFormat="1" ht="14.1" customHeight="1" x14ac:dyDescent="0.2">
      <c r="A110" s="131"/>
      <c r="B110" s="132"/>
      <c r="C110" s="18"/>
      <c r="D110" s="122" t="s">
        <v>124</v>
      </c>
      <c r="E110" s="123"/>
      <c r="F110" s="123"/>
      <c r="G110" s="123"/>
      <c r="H110" s="124"/>
      <c r="I110" s="18"/>
      <c r="J110" s="8" t="s">
        <v>166</v>
      </c>
      <c r="K110" s="20">
        <v>4</v>
      </c>
      <c r="L110" s="54">
        <f t="shared" si="2"/>
        <v>0</v>
      </c>
      <c r="N110" s="21"/>
      <c r="O110" s="21"/>
      <c r="P110" s="21"/>
      <c r="Q110" s="21"/>
      <c r="R110" s="21"/>
      <c r="S110" s="21"/>
      <c r="T110" s="21"/>
      <c r="U110" s="21"/>
      <c r="V110" s="21"/>
    </row>
    <row r="111" spans="1:22" s="13" customFormat="1" ht="14.1" customHeight="1" x14ac:dyDescent="0.2">
      <c r="A111" s="133"/>
      <c r="B111" s="134"/>
      <c r="C111" s="18"/>
      <c r="D111" s="122" t="s">
        <v>125</v>
      </c>
      <c r="E111" s="123"/>
      <c r="F111" s="123"/>
      <c r="G111" s="123"/>
      <c r="H111" s="124"/>
      <c r="I111" s="18"/>
      <c r="J111" s="8" t="s">
        <v>166</v>
      </c>
      <c r="K111" s="20">
        <v>2</v>
      </c>
      <c r="L111" s="54">
        <f t="shared" si="2"/>
        <v>0</v>
      </c>
      <c r="N111" s="21"/>
      <c r="O111" s="21"/>
      <c r="P111" s="21"/>
      <c r="Q111" s="21"/>
      <c r="R111" s="21"/>
      <c r="S111" s="21"/>
      <c r="T111" s="21"/>
      <c r="U111" s="21"/>
      <c r="V111" s="21"/>
    </row>
    <row r="112" spans="1:22" s="13" customFormat="1" ht="14.1" customHeight="1" x14ac:dyDescent="0.2">
      <c r="A112" s="135" t="s">
        <v>43</v>
      </c>
      <c r="B112" s="136"/>
      <c r="C112" s="18"/>
      <c r="D112" s="122" t="s">
        <v>126</v>
      </c>
      <c r="E112" s="123"/>
      <c r="F112" s="123"/>
      <c r="G112" s="123"/>
      <c r="H112" s="124"/>
      <c r="I112" s="18"/>
      <c r="J112" s="8" t="s">
        <v>166</v>
      </c>
      <c r="K112" s="20">
        <v>1.35</v>
      </c>
      <c r="L112" s="54">
        <f t="shared" si="2"/>
        <v>0</v>
      </c>
      <c r="N112" s="21"/>
      <c r="O112" s="21"/>
      <c r="P112" s="21"/>
      <c r="Q112" s="21"/>
      <c r="R112" s="21"/>
      <c r="S112" s="21"/>
      <c r="T112" s="21"/>
      <c r="U112" s="21"/>
      <c r="V112" s="21"/>
    </row>
    <row r="113" spans="1:22" s="13" customFormat="1" ht="14.1" customHeight="1" x14ac:dyDescent="0.2">
      <c r="A113" s="133"/>
      <c r="B113" s="134"/>
      <c r="C113" s="18"/>
      <c r="D113" s="122" t="s">
        <v>127</v>
      </c>
      <c r="E113" s="123"/>
      <c r="F113" s="123"/>
      <c r="G113" s="123"/>
      <c r="H113" s="124"/>
      <c r="I113" s="18"/>
      <c r="J113" s="8" t="s">
        <v>166</v>
      </c>
      <c r="K113" s="20">
        <v>2</v>
      </c>
      <c r="L113" s="54">
        <f t="shared" si="2"/>
        <v>0</v>
      </c>
      <c r="N113" s="21"/>
      <c r="O113" s="21"/>
      <c r="P113" s="21"/>
      <c r="Q113" s="21"/>
      <c r="R113" s="21"/>
      <c r="S113" s="21"/>
      <c r="T113" s="21"/>
      <c r="U113" s="21"/>
      <c r="V113" s="21"/>
    </row>
    <row r="114" spans="1:22" s="13" customFormat="1" ht="14.1" customHeight="1" x14ac:dyDescent="0.2">
      <c r="A114" s="135" t="s">
        <v>44</v>
      </c>
      <c r="B114" s="136"/>
      <c r="C114" s="18"/>
      <c r="D114" s="122" t="s">
        <v>128</v>
      </c>
      <c r="E114" s="123"/>
      <c r="F114" s="123"/>
      <c r="G114" s="123"/>
      <c r="H114" s="124"/>
      <c r="I114" s="18"/>
      <c r="J114" s="8" t="s">
        <v>166</v>
      </c>
      <c r="K114" s="20">
        <v>10</v>
      </c>
      <c r="L114" s="54">
        <f t="shared" si="2"/>
        <v>0</v>
      </c>
      <c r="N114" s="21"/>
      <c r="O114" s="21"/>
      <c r="P114" s="21"/>
      <c r="Q114" s="21"/>
      <c r="R114" s="21"/>
      <c r="S114" s="21"/>
      <c r="T114" s="21"/>
      <c r="U114" s="21"/>
      <c r="V114" s="21"/>
    </row>
    <row r="115" spans="1:22" s="13" customFormat="1" ht="14.1" customHeight="1" x14ac:dyDescent="0.2">
      <c r="A115" s="131"/>
      <c r="B115" s="132"/>
      <c r="C115" s="18"/>
      <c r="D115" s="122" t="s">
        <v>129</v>
      </c>
      <c r="E115" s="123"/>
      <c r="F115" s="123"/>
      <c r="G115" s="123"/>
      <c r="H115" s="124"/>
      <c r="I115" s="18"/>
      <c r="J115" s="8" t="s">
        <v>166</v>
      </c>
      <c r="K115" s="20">
        <v>15</v>
      </c>
      <c r="L115" s="54">
        <f t="shared" si="2"/>
        <v>0</v>
      </c>
      <c r="N115" s="21"/>
      <c r="O115" s="21"/>
      <c r="P115" s="21"/>
      <c r="Q115" s="21"/>
      <c r="R115" s="21"/>
      <c r="S115" s="21"/>
      <c r="T115" s="21"/>
      <c r="U115" s="21"/>
      <c r="V115" s="21"/>
    </row>
    <row r="116" spans="1:22" s="13" customFormat="1" ht="14.1" customHeight="1" x14ac:dyDescent="0.2">
      <c r="A116" s="131"/>
      <c r="B116" s="132"/>
      <c r="C116" s="18"/>
      <c r="D116" s="122" t="s">
        <v>130</v>
      </c>
      <c r="E116" s="123"/>
      <c r="F116" s="123"/>
      <c r="G116" s="123"/>
      <c r="H116" s="124"/>
      <c r="I116" s="18"/>
      <c r="J116" s="8" t="s">
        <v>166</v>
      </c>
      <c r="K116" s="20">
        <v>8</v>
      </c>
      <c r="L116" s="54">
        <f t="shared" si="2"/>
        <v>0</v>
      </c>
      <c r="N116" s="21"/>
      <c r="O116" s="21"/>
      <c r="P116" s="21"/>
      <c r="Q116" s="21"/>
      <c r="R116" s="21"/>
      <c r="S116" s="21"/>
      <c r="T116" s="21"/>
      <c r="U116" s="21"/>
      <c r="V116" s="21"/>
    </row>
    <row r="117" spans="1:22" s="13" customFormat="1" ht="14.1" customHeight="1" x14ac:dyDescent="0.2">
      <c r="A117" s="131"/>
      <c r="B117" s="132"/>
      <c r="C117" s="18"/>
      <c r="D117" s="122" t="s">
        <v>0</v>
      </c>
      <c r="E117" s="123"/>
      <c r="F117" s="123"/>
      <c r="G117" s="123"/>
      <c r="H117" s="124"/>
      <c r="I117" s="18"/>
      <c r="J117" s="8" t="s">
        <v>166</v>
      </c>
      <c r="K117" s="20">
        <v>9</v>
      </c>
      <c r="L117" s="54">
        <f t="shared" si="2"/>
        <v>0</v>
      </c>
      <c r="N117" s="21"/>
      <c r="O117" s="21"/>
      <c r="P117" s="21"/>
      <c r="Q117" s="21"/>
      <c r="R117" s="21"/>
      <c r="S117" s="21"/>
      <c r="T117" s="21"/>
      <c r="U117" s="21"/>
      <c r="V117" s="21"/>
    </row>
    <row r="118" spans="1:22" s="13" customFormat="1" ht="14.1" customHeight="1" x14ac:dyDescent="0.2">
      <c r="A118" s="131"/>
      <c r="B118" s="132"/>
      <c r="C118" s="18"/>
      <c r="D118" s="122" t="s">
        <v>131</v>
      </c>
      <c r="E118" s="123"/>
      <c r="F118" s="123"/>
      <c r="G118" s="123"/>
      <c r="H118" s="124"/>
      <c r="I118" s="18"/>
      <c r="J118" s="8" t="s">
        <v>166</v>
      </c>
      <c r="K118" s="20">
        <v>16</v>
      </c>
      <c r="L118" s="54">
        <f t="shared" si="2"/>
        <v>0</v>
      </c>
      <c r="N118" s="21"/>
      <c r="O118" s="21"/>
      <c r="P118" s="21"/>
      <c r="Q118" s="21"/>
      <c r="R118" s="21"/>
      <c r="S118" s="21"/>
      <c r="T118" s="21"/>
      <c r="U118" s="21"/>
      <c r="V118" s="21"/>
    </row>
    <row r="119" spans="1:22" s="13" customFormat="1" ht="14.1" customHeight="1" thickBot="1" x14ac:dyDescent="0.25">
      <c r="A119" s="131"/>
      <c r="B119" s="132"/>
      <c r="C119" s="36"/>
      <c r="D119" s="175" t="s">
        <v>116</v>
      </c>
      <c r="E119" s="176"/>
      <c r="F119" s="176"/>
      <c r="G119" s="176"/>
      <c r="H119" s="177"/>
      <c r="I119" s="36"/>
      <c r="J119" s="37" t="s">
        <v>166</v>
      </c>
      <c r="K119" s="38">
        <v>8</v>
      </c>
      <c r="L119" s="55">
        <f t="shared" si="2"/>
        <v>0</v>
      </c>
      <c r="N119" s="21"/>
      <c r="O119" s="21"/>
      <c r="P119" s="21"/>
      <c r="Q119" s="21"/>
      <c r="R119" s="21"/>
      <c r="S119" s="21"/>
      <c r="T119" s="21"/>
      <c r="U119" s="21"/>
      <c r="V119" s="21"/>
    </row>
    <row r="120" spans="1:22" s="13" customFormat="1" ht="14.1" customHeight="1" thickTop="1" x14ac:dyDescent="0.2">
      <c r="A120" s="173" t="s">
        <v>224</v>
      </c>
      <c r="B120" s="174"/>
      <c r="C120" s="39"/>
      <c r="D120" s="170" t="s">
        <v>1</v>
      </c>
      <c r="E120" s="171"/>
      <c r="F120" s="171"/>
      <c r="G120" s="171"/>
      <c r="H120" s="172"/>
      <c r="I120" s="39"/>
      <c r="J120" s="40" t="s">
        <v>169</v>
      </c>
      <c r="K120" s="41">
        <v>12500</v>
      </c>
      <c r="L120" s="56">
        <f t="shared" si="2"/>
        <v>0</v>
      </c>
      <c r="N120" s="21"/>
      <c r="O120" s="21"/>
      <c r="P120" s="21"/>
      <c r="Q120" s="21"/>
      <c r="R120" s="21"/>
      <c r="S120" s="21"/>
      <c r="T120" s="21"/>
      <c r="U120" s="21"/>
      <c r="V120" s="21"/>
    </row>
    <row r="121" spans="1:22" s="13" customFormat="1" ht="14.1" customHeight="1" x14ac:dyDescent="0.2">
      <c r="A121" s="159" t="s">
        <v>223</v>
      </c>
      <c r="B121" s="160"/>
      <c r="C121" s="18"/>
      <c r="D121" s="122" t="s">
        <v>2</v>
      </c>
      <c r="E121" s="123"/>
      <c r="F121" s="123"/>
      <c r="G121" s="123"/>
      <c r="H121" s="124"/>
      <c r="I121" s="18"/>
      <c r="J121" s="8" t="s">
        <v>169</v>
      </c>
      <c r="K121" s="20">
        <v>10500</v>
      </c>
      <c r="L121" s="54">
        <f t="shared" si="2"/>
        <v>0</v>
      </c>
      <c r="N121" s="21"/>
      <c r="O121" s="21"/>
      <c r="P121" s="21"/>
      <c r="Q121" s="21"/>
      <c r="R121" s="21"/>
      <c r="S121" s="21"/>
      <c r="T121" s="21"/>
      <c r="U121" s="21"/>
      <c r="V121" s="21"/>
    </row>
    <row r="122" spans="1:22" s="13" customFormat="1" ht="14.1" customHeight="1" x14ac:dyDescent="0.2">
      <c r="A122" s="159"/>
      <c r="B122" s="160"/>
      <c r="C122" s="18"/>
      <c r="D122" s="122" t="s">
        <v>3</v>
      </c>
      <c r="E122" s="123"/>
      <c r="F122" s="123"/>
      <c r="G122" s="123"/>
      <c r="H122" s="124"/>
      <c r="I122" s="18"/>
      <c r="J122" s="8" t="s">
        <v>169</v>
      </c>
      <c r="K122" s="20">
        <v>8500</v>
      </c>
      <c r="L122" s="54">
        <f t="shared" si="2"/>
        <v>0</v>
      </c>
      <c r="N122" s="21"/>
      <c r="O122" s="21"/>
      <c r="P122" s="21"/>
      <c r="Q122" s="21"/>
      <c r="R122" s="21"/>
      <c r="S122" s="21"/>
      <c r="T122" s="21"/>
      <c r="U122" s="21"/>
      <c r="V122" s="21"/>
    </row>
    <row r="123" spans="1:22" s="13" customFormat="1" ht="14.1" customHeight="1" x14ac:dyDescent="0.2">
      <c r="A123" s="159"/>
      <c r="B123" s="160"/>
      <c r="C123" s="18"/>
      <c r="D123" s="122" t="s">
        <v>4</v>
      </c>
      <c r="E123" s="123"/>
      <c r="F123" s="123"/>
      <c r="G123" s="123"/>
      <c r="H123" s="124"/>
      <c r="I123" s="18"/>
      <c r="J123" s="8" t="s">
        <v>169</v>
      </c>
      <c r="K123" s="20">
        <v>6500</v>
      </c>
      <c r="L123" s="54">
        <f t="shared" si="2"/>
        <v>0</v>
      </c>
      <c r="N123" s="21"/>
      <c r="O123" s="21"/>
      <c r="P123" s="21"/>
      <c r="Q123" s="21"/>
      <c r="R123" s="21"/>
      <c r="S123" s="21"/>
      <c r="T123" s="21"/>
      <c r="U123" s="21"/>
      <c r="V123" s="21"/>
    </row>
    <row r="124" spans="1:22" s="13" customFormat="1" ht="14.1" customHeight="1" x14ac:dyDescent="0.2">
      <c r="A124" s="161"/>
      <c r="B124" s="162"/>
      <c r="C124" s="18"/>
      <c r="D124" s="122" t="s">
        <v>132</v>
      </c>
      <c r="E124" s="123"/>
      <c r="F124" s="123"/>
      <c r="G124" s="123"/>
      <c r="H124" s="124"/>
      <c r="I124" s="18"/>
      <c r="J124" s="8" t="s">
        <v>169</v>
      </c>
      <c r="K124" s="20">
        <v>500</v>
      </c>
      <c r="L124" s="54">
        <f t="shared" si="2"/>
        <v>0</v>
      </c>
      <c r="N124" s="21"/>
      <c r="O124" s="21"/>
      <c r="P124" s="21"/>
      <c r="Q124" s="21"/>
      <c r="R124" s="21"/>
      <c r="S124" s="21"/>
      <c r="T124" s="21"/>
      <c r="U124" s="21"/>
      <c r="V124" s="21"/>
    </row>
    <row r="125" spans="1:22" s="13" customFormat="1" ht="14.1" customHeight="1" x14ac:dyDescent="0.2">
      <c r="A125" s="135" t="s">
        <v>226</v>
      </c>
      <c r="B125" s="136"/>
      <c r="C125" s="18"/>
      <c r="D125" s="122" t="s">
        <v>133</v>
      </c>
      <c r="E125" s="123"/>
      <c r="F125" s="123"/>
      <c r="G125" s="123"/>
      <c r="H125" s="124"/>
      <c r="I125" s="18"/>
      <c r="J125" s="8" t="s">
        <v>169</v>
      </c>
      <c r="K125" s="20">
        <v>12000</v>
      </c>
      <c r="L125" s="54">
        <f t="shared" si="2"/>
        <v>0</v>
      </c>
      <c r="N125" s="21"/>
      <c r="O125" s="21"/>
      <c r="P125" s="21"/>
      <c r="Q125" s="21"/>
      <c r="R125" s="21"/>
      <c r="S125" s="21"/>
      <c r="T125" s="21"/>
      <c r="U125" s="21"/>
      <c r="V125" s="21"/>
    </row>
    <row r="126" spans="1:22" s="13" customFormat="1" ht="14.1" customHeight="1" x14ac:dyDescent="0.2">
      <c r="A126" s="159" t="s">
        <v>225</v>
      </c>
      <c r="B126" s="160"/>
      <c r="C126" s="18"/>
      <c r="D126" s="122" t="s">
        <v>258</v>
      </c>
      <c r="E126" s="123"/>
      <c r="F126" s="123"/>
      <c r="G126" s="123"/>
      <c r="H126" s="124"/>
      <c r="I126" s="18"/>
      <c r="J126" s="8" t="s">
        <v>169</v>
      </c>
      <c r="K126" s="20">
        <v>7000</v>
      </c>
      <c r="L126" s="54">
        <f t="shared" si="2"/>
        <v>0</v>
      </c>
      <c r="N126" s="21"/>
      <c r="O126" s="21"/>
      <c r="P126" s="21"/>
      <c r="Q126" s="21"/>
      <c r="R126" s="21"/>
      <c r="S126" s="21"/>
      <c r="T126" s="21"/>
      <c r="U126" s="21"/>
      <c r="V126" s="21"/>
    </row>
    <row r="127" spans="1:22" s="13" customFormat="1" ht="14.1" customHeight="1" x14ac:dyDescent="0.2">
      <c r="A127" s="159"/>
      <c r="B127" s="160"/>
      <c r="C127" s="18"/>
      <c r="D127" s="122" t="s">
        <v>134</v>
      </c>
      <c r="E127" s="123"/>
      <c r="F127" s="123"/>
      <c r="G127" s="123"/>
      <c r="H127" s="124"/>
      <c r="I127" s="18"/>
      <c r="J127" s="8" t="s">
        <v>169</v>
      </c>
      <c r="K127" s="20">
        <v>4500</v>
      </c>
      <c r="L127" s="54">
        <f t="shared" si="2"/>
        <v>0</v>
      </c>
      <c r="N127" s="21"/>
      <c r="O127" s="21"/>
      <c r="P127" s="21"/>
      <c r="Q127" s="21"/>
      <c r="R127" s="21"/>
      <c r="S127" s="21"/>
      <c r="T127" s="21"/>
      <c r="U127" s="21"/>
      <c r="V127" s="21"/>
    </row>
    <row r="128" spans="1:22" s="13" customFormat="1" ht="14.1" customHeight="1" x14ac:dyDescent="0.2">
      <c r="A128" s="161"/>
      <c r="B128" s="162"/>
      <c r="C128" s="18"/>
      <c r="D128" s="122" t="s">
        <v>135</v>
      </c>
      <c r="E128" s="123"/>
      <c r="F128" s="123"/>
      <c r="G128" s="123"/>
      <c r="H128" s="124"/>
      <c r="I128" s="18"/>
      <c r="J128" s="8" t="s">
        <v>169</v>
      </c>
      <c r="K128" s="20">
        <v>2000</v>
      </c>
      <c r="L128" s="54">
        <f t="shared" si="2"/>
        <v>0</v>
      </c>
      <c r="N128" s="21"/>
      <c r="O128" s="21"/>
      <c r="P128" s="21"/>
      <c r="Q128" s="21"/>
      <c r="R128" s="21"/>
      <c r="S128" s="21"/>
      <c r="T128" s="21"/>
      <c r="U128" s="21"/>
      <c r="V128" s="21"/>
    </row>
    <row r="129" spans="1:22" s="13" customFormat="1" ht="14.1" customHeight="1" x14ac:dyDescent="0.2">
      <c r="A129" s="135" t="s">
        <v>227</v>
      </c>
      <c r="B129" s="136"/>
      <c r="C129" s="18"/>
      <c r="D129" s="122" t="s">
        <v>136</v>
      </c>
      <c r="E129" s="123"/>
      <c r="F129" s="123"/>
      <c r="G129" s="123"/>
      <c r="H129" s="124"/>
      <c r="I129" s="18"/>
      <c r="J129" s="8" t="s">
        <v>174</v>
      </c>
      <c r="K129" s="20">
        <v>185</v>
      </c>
      <c r="L129" s="54">
        <f t="shared" si="2"/>
        <v>0</v>
      </c>
      <c r="N129" s="21"/>
      <c r="O129" s="21"/>
      <c r="P129" s="21"/>
      <c r="Q129" s="21"/>
      <c r="R129" s="21"/>
      <c r="S129" s="21"/>
      <c r="T129" s="21"/>
      <c r="U129" s="21"/>
      <c r="V129" s="21"/>
    </row>
    <row r="130" spans="1:22" s="13" customFormat="1" ht="14.1" customHeight="1" x14ac:dyDescent="0.2">
      <c r="A130" s="131"/>
      <c r="B130" s="132"/>
      <c r="C130" s="18"/>
      <c r="D130" s="122" t="s">
        <v>137</v>
      </c>
      <c r="E130" s="123"/>
      <c r="F130" s="123"/>
      <c r="G130" s="123"/>
      <c r="H130" s="124"/>
      <c r="I130" s="18"/>
      <c r="J130" s="8" t="s">
        <v>166</v>
      </c>
      <c r="K130" s="20">
        <v>65</v>
      </c>
      <c r="L130" s="54">
        <f t="shared" si="2"/>
        <v>0</v>
      </c>
      <c r="N130" s="21"/>
      <c r="O130" s="21"/>
      <c r="P130" s="21"/>
      <c r="Q130" s="21"/>
      <c r="R130" s="21"/>
      <c r="S130" s="21"/>
      <c r="T130" s="21"/>
      <c r="U130" s="21"/>
      <c r="V130" s="21"/>
    </row>
    <row r="131" spans="1:22" s="13" customFormat="1" ht="14.1" customHeight="1" x14ac:dyDescent="0.2">
      <c r="A131" s="131"/>
      <c r="B131" s="132"/>
      <c r="C131" s="18"/>
      <c r="D131" s="122" t="s">
        <v>138</v>
      </c>
      <c r="E131" s="123"/>
      <c r="F131" s="123"/>
      <c r="G131" s="123"/>
      <c r="H131" s="124"/>
      <c r="I131" s="18"/>
      <c r="J131" s="8" t="s">
        <v>169</v>
      </c>
      <c r="K131" s="20">
        <v>350</v>
      </c>
      <c r="L131" s="54">
        <f t="shared" si="2"/>
        <v>0</v>
      </c>
      <c r="N131" s="21"/>
      <c r="O131" s="21"/>
      <c r="P131" s="21"/>
      <c r="Q131" s="21"/>
      <c r="R131" s="21"/>
      <c r="S131" s="21"/>
      <c r="T131" s="21"/>
      <c r="U131" s="21"/>
      <c r="V131" s="21"/>
    </row>
    <row r="132" spans="1:22" s="13" customFormat="1" ht="14.1" customHeight="1" x14ac:dyDescent="0.2">
      <c r="A132" s="131"/>
      <c r="B132" s="132"/>
      <c r="C132" s="18"/>
      <c r="D132" s="122" t="s">
        <v>139</v>
      </c>
      <c r="E132" s="123"/>
      <c r="F132" s="123"/>
      <c r="G132" s="123"/>
      <c r="H132" s="124"/>
      <c r="I132" s="18"/>
      <c r="J132" s="8" t="s">
        <v>169</v>
      </c>
      <c r="K132" s="20">
        <v>350</v>
      </c>
      <c r="L132" s="54">
        <f t="shared" si="2"/>
        <v>0</v>
      </c>
      <c r="N132" s="21"/>
      <c r="O132" s="21"/>
      <c r="P132" s="21"/>
      <c r="Q132" s="21"/>
      <c r="R132" s="21"/>
      <c r="S132" s="21"/>
      <c r="T132" s="21"/>
      <c r="U132" s="21"/>
      <c r="V132" s="21"/>
    </row>
    <row r="133" spans="1:22" s="13" customFormat="1" ht="14.1" customHeight="1" x14ac:dyDescent="0.2">
      <c r="A133" s="131"/>
      <c r="B133" s="132"/>
      <c r="C133" s="18"/>
      <c r="D133" s="122" t="s">
        <v>140</v>
      </c>
      <c r="E133" s="123"/>
      <c r="F133" s="123"/>
      <c r="G133" s="123"/>
      <c r="H133" s="124"/>
      <c r="I133" s="18"/>
      <c r="J133" s="8" t="s">
        <v>169</v>
      </c>
      <c r="K133" s="20">
        <v>250</v>
      </c>
      <c r="L133" s="54">
        <f t="shared" si="2"/>
        <v>0</v>
      </c>
      <c r="N133" s="21"/>
      <c r="O133" s="21"/>
      <c r="P133" s="21"/>
      <c r="Q133" s="21"/>
      <c r="R133" s="21"/>
      <c r="S133" s="21"/>
      <c r="T133" s="21"/>
      <c r="U133" s="21"/>
      <c r="V133" s="21"/>
    </row>
    <row r="134" spans="1:22" s="13" customFormat="1" ht="14.1" customHeight="1" x14ac:dyDescent="0.2">
      <c r="A134" s="131"/>
      <c r="B134" s="132"/>
      <c r="C134" s="18"/>
      <c r="D134" s="122" t="s">
        <v>141</v>
      </c>
      <c r="E134" s="123"/>
      <c r="F134" s="123"/>
      <c r="G134" s="123"/>
      <c r="H134" s="124"/>
      <c r="I134" s="18"/>
      <c r="J134" s="8" t="s">
        <v>169</v>
      </c>
      <c r="K134" s="20">
        <v>1200</v>
      </c>
      <c r="L134" s="54">
        <f t="shared" si="2"/>
        <v>0</v>
      </c>
      <c r="N134" s="21"/>
      <c r="O134" s="21"/>
      <c r="P134" s="21"/>
      <c r="Q134" s="21"/>
      <c r="R134" s="21"/>
      <c r="S134" s="21"/>
      <c r="T134" s="21"/>
      <c r="U134" s="21"/>
      <c r="V134" s="21"/>
    </row>
    <row r="135" spans="1:22" s="13" customFormat="1" ht="14.1" customHeight="1" x14ac:dyDescent="0.2">
      <c r="A135" s="131"/>
      <c r="B135" s="132"/>
      <c r="C135" s="18"/>
      <c r="D135" s="122" t="s">
        <v>142</v>
      </c>
      <c r="E135" s="123"/>
      <c r="F135" s="123"/>
      <c r="G135" s="123"/>
      <c r="H135" s="124"/>
      <c r="I135" s="18"/>
      <c r="J135" s="8" t="s">
        <v>169</v>
      </c>
      <c r="K135" s="20">
        <v>850</v>
      </c>
      <c r="L135" s="54">
        <f t="shared" si="2"/>
        <v>0</v>
      </c>
      <c r="N135" s="21"/>
      <c r="O135" s="21"/>
      <c r="P135" s="21"/>
      <c r="Q135" s="21"/>
      <c r="R135" s="21"/>
      <c r="S135" s="21"/>
      <c r="T135" s="21"/>
      <c r="U135" s="21"/>
      <c r="V135" s="21"/>
    </row>
    <row r="136" spans="1:22" s="13" customFormat="1" ht="14.1" customHeight="1" x14ac:dyDescent="0.2">
      <c r="A136" s="131"/>
      <c r="B136" s="132"/>
      <c r="C136" s="18"/>
      <c r="D136" s="122" t="s">
        <v>143</v>
      </c>
      <c r="E136" s="123"/>
      <c r="F136" s="123"/>
      <c r="G136" s="123"/>
      <c r="H136" s="124"/>
      <c r="I136" s="18"/>
      <c r="J136" s="8" t="s">
        <v>169</v>
      </c>
      <c r="K136" s="20">
        <v>400</v>
      </c>
      <c r="L136" s="54">
        <f t="shared" si="2"/>
        <v>0</v>
      </c>
      <c r="N136" s="21"/>
      <c r="O136" s="21"/>
      <c r="P136" s="21"/>
      <c r="Q136" s="21"/>
      <c r="R136" s="21"/>
      <c r="S136" s="21"/>
      <c r="T136" s="21"/>
      <c r="U136" s="21"/>
      <c r="V136" s="21"/>
    </row>
    <row r="137" spans="1:22" s="13" customFormat="1" ht="14.1" customHeight="1" x14ac:dyDescent="0.2">
      <c r="A137" s="131"/>
      <c r="B137" s="132"/>
      <c r="C137" s="18"/>
      <c r="D137" s="122" t="s">
        <v>144</v>
      </c>
      <c r="E137" s="123"/>
      <c r="F137" s="123"/>
      <c r="G137" s="123"/>
      <c r="H137" s="124"/>
      <c r="I137" s="28"/>
      <c r="J137" s="8" t="s">
        <v>169</v>
      </c>
      <c r="K137" s="20">
        <v>600</v>
      </c>
      <c r="L137" s="54">
        <f t="shared" si="2"/>
        <v>0</v>
      </c>
      <c r="N137" s="21"/>
      <c r="O137" s="21"/>
      <c r="P137" s="21"/>
      <c r="Q137" s="21"/>
      <c r="R137" s="21"/>
      <c r="S137" s="21"/>
      <c r="T137" s="21"/>
      <c r="U137" s="21"/>
      <c r="V137" s="21"/>
    </row>
    <row r="138" spans="1:22" s="13" customFormat="1" ht="14.1" customHeight="1" thickBot="1" x14ac:dyDescent="0.25">
      <c r="A138" s="157"/>
      <c r="B138" s="158"/>
      <c r="C138" s="42"/>
      <c r="D138" s="167" t="s">
        <v>145</v>
      </c>
      <c r="E138" s="168"/>
      <c r="F138" s="168"/>
      <c r="G138" s="168"/>
      <c r="H138" s="169"/>
      <c r="I138" s="43"/>
      <c r="J138" s="44" t="s">
        <v>169</v>
      </c>
      <c r="K138" s="45">
        <v>350</v>
      </c>
      <c r="L138" s="57">
        <f t="shared" si="2"/>
        <v>0</v>
      </c>
      <c r="N138" s="21"/>
      <c r="O138" s="21"/>
      <c r="P138" s="21"/>
      <c r="Q138" s="21"/>
      <c r="R138" s="21"/>
      <c r="S138" s="21"/>
      <c r="T138" s="21"/>
      <c r="U138" s="21"/>
      <c r="V138" s="21"/>
    </row>
    <row r="139" spans="1:22" s="13" customFormat="1" ht="14.1" customHeight="1" thickTop="1" x14ac:dyDescent="0.2">
      <c r="A139" s="155" t="s">
        <v>229</v>
      </c>
      <c r="B139" s="156"/>
      <c r="C139" s="39"/>
      <c r="D139" s="170" t="s">
        <v>146</v>
      </c>
      <c r="E139" s="171"/>
      <c r="F139" s="171"/>
      <c r="G139" s="171"/>
      <c r="H139" s="172"/>
      <c r="I139" s="39"/>
      <c r="J139" s="40" t="s">
        <v>169</v>
      </c>
      <c r="K139" s="41">
        <v>9000</v>
      </c>
      <c r="L139" s="56">
        <f t="shared" si="2"/>
        <v>0</v>
      </c>
      <c r="N139" s="21"/>
      <c r="O139" s="21"/>
      <c r="P139" s="21"/>
      <c r="Q139" s="21"/>
      <c r="R139" s="21"/>
      <c r="S139" s="21"/>
      <c r="T139" s="21"/>
      <c r="U139" s="21"/>
      <c r="V139" s="21"/>
    </row>
    <row r="140" spans="1:22" s="13" customFormat="1" ht="14.1" customHeight="1" x14ac:dyDescent="0.2">
      <c r="A140" s="163" t="s">
        <v>228</v>
      </c>
      <c r="B140" s="164"/>
      <c r="C140" s="18"/>
      <c r="D140" s="122" t="s">
        <v>147</v>
      </c>
      <c r="E140" s="123"/>
      <c r="F140" s="123"/>
      <c r="G140" s="123"/>
      <c r="H140" s="124"/>
      <c r="I140" s="28"/>
      <c r="J140" s="8" t="s">
        <v>169</v>
      </c>
      <c r="K140" s="20">
        <v>5500</v>
      </c>
      <c r="L140" s="54">
        <f t="shared" si="2"/>
        <v>0</v>
      </c>
      <c r="N140" s="21"/>
      <c r="O140" s="21"/>
      <c r="P140" s="21"/>
      <c r="Q140" s="21"/>
      <c r="R140" s="21"/>
      <c r="S140" s="21"/>
      <c r="T140" s="21"/>
      <c r="U140" s="21"/>
      <c r="V140" s="21"/>
    </row>
    <row r="141" spans="1:22" s="13" customFormat="1" ht="14.1" customHeight="1" x14ac:dyDescent="0.2">
      <c r="A141" s="163"/>
      <c r="B141" s="164"/>
      <c r="C141" s="18"/>
      <c r="D141" s="122" t="s">
        <v>148</v>
      </c>
      <c r="E141" s="123"/>
      <c r="F141" s="123"/>
      <c r="G141" s="123"/>
      <c r="H141" s="124"/>
      <c r="I141" s="28"/>
      <c r="J141" s="8" t="s">
        <v>169</v>
      </c>
      <c r="K141" s="20">
        <v>3000</v>
      </c>
      <c r="L141" s="54">
        <f t="shared" si="2"/>
        <v>0</v>
      </c>
      <c r="N141" s="21"/>
      <c r="O141" s="21"/>
      <c r="P141" s="21"/>
      <c r="Q141" s="21"/>
      <c r="R141" s="21"/>
      <c r="S141" s="21"/>
      <c r="T141" s="21"/>
      <c r="U141" s="21"/>
      <c r="V141" s="21"/>
    </row>
    <row r="142" spans="1:22" s="13" customFormat="1" ht="15.95" customHeight="1" x14ac:dyDescent="0.2">
      <c r="A142" s="165"/>
      <c r="B142" s="166"/>
      <c r="C142" s="46"/>
      <c r="D142" s="47"/>
      <c r="E142" s="47"/>
      <c r="F142" s="47"/>
      <c r="G142" s="47"/>
      <c r="H142" s="47"/>
      <c r="I142" s="47"/>
      <c r="J142" s="47"/>
      <c r="K142" s="47"/>
      <c r="L142" s="58"/>
      <c r="N142" s="21"/>
      <c r="O142" s="21"/>
      <c r="P142" s="21"/>
      <c r="Q142" s="21"/>
      <c r="R142" s="21"/>
      <c r="S142" s="21"/>
      <c r="T142" s="21"/>
      <c r="U142" s="21"/>
      <c r="V142" s="21"/>
    </row>
    <row r="143" spans="1:22" s="13" customFormat="1" ht="14.1" customHeight="1" x14ac:dyDescent="0.2">
      <c r="A143" s="135" t="s">
        <v>230</v>
      </c>
      <c r="B143" s="136"/>
      <c r="C143" s="18"/>
      <c r="D143" s="122" t="s">
        <v>149</v>
      </c>
      <c r="E143" s="123"/>
      <c r="F143" s="123"/>
      <c r="G143" s="123"/>
      <c r="H143" s="124"/>
      <c r="I143" s="18"/>
      <c r="J143" s="8" t="s">
        <v>169</v>
      </c>
      <c r="K143" s="20">
        <v>700</v>
      </c>
      <c r="L143" s="54">
        <f t="shared" si="2"/>
        <v>0</v>
      </c>
      <c r="N143" s="21"/>
      <c r="O143" s="21"/>
      <c r="P143" s="21"/>
      <c r="Q143" s="21"/>
      <c r="R143" s="21"/>
      <c r="S143" s="21"/>
      <c r="T143" s="21"/>
      <c r="U143" s="21"/>
      <c r="V143" s="21"/>
    </row>
    <row r="144" spans="1:22" s="13" customFormat="1" ht="14.1" customHeight="1" x14ac:dyDescent="0.2">
      <c r="A144" s="131"/>
      <c r="B144" s="132"/>
      <c r="C144" s="18"/>
      <c r="D144" s="122" t="s">
        <v>150</v>
      </c>
      <c r="E144" s="123"/>
      <c r="F144" s="123"/>
      <c r="G144" s="123"/>
      <c r="H144" s="124"/>
      <c r="I144" s="18"/>
      <c r="J144" s="8" t="s">
        <v>169</v>
      </c>
      <c r="K144" s="20">
        <v>150</v>
      </c>
      <c r="L144" s="54">
        <f t="shared" si="2"/>
        <v>0</v>
      </c>
      <c r="N144" s="21"/>
      <c r="O144" s="21"/>
      <c r="P144" s="21"/>
      <c r="Q144" s="21"/>
      <c r="R144" s="21"/>
      <c r="S144" s="21"/>
      <c r="T144" s="21"/>
      <c r="U144" s="21"/>
      <c r="V144" s="21"/>
    </row>
    <row r="145" spans="1:22" s="13" customFormat="1" ht="14.1" customHeight="1" x14ac:dyDescent="0.2">
      <c r="A145" s="131"/>
      <c r="B145" s="132"/>
      <c r="C145" s="18"/>
      <c r="D145" s="122" t="s">
        <v>151</v>
      </c>
      <c r="E145" s="123"/>
      <c r="F145" s="123"/>
      <c r="G145" s="123"/>
      <c r="H145" s="124"/>
      <c r="I145" s="18"/>
      <c r="J145" s="8" t="s">
        <v>169</v>
      </c>
      <c r="K145" s="20">
        <v>75</v>
      </c>
      <c r="L145" s="54">
        <f t="shared" si="2"/>
        <v>0</v>
      </c>
      <c r="N145" s="21"/>
      <c r="O145" s="21"/>
      <c r="P145" s="21"/>
      <c r="Q145" s="21"/>
      <c r="R145" s="21"/>
      <c r="S145" s="21"/>
      <c r="T145" s="21"/>
      <c r="U145" s="21"/>
      <c r="V145" s="21"/>
    </row>
    <row r="146" spans="1:22" s="13" customFormat="1" ht="14.1" customHeight="1" x14ac:dyDescent="0.2">
      <c r="A146" s="131"/>
      <c r="B146" s="132"/>
      <c r="C146" s="18"/>
      <c r="D146" s="122" t="s">
        <v>138</v>
      </c>
      <c r="E146" s="123"/>
      <c r="F146" s="123"/>
      <c r="G146" s="123"/>
      <c r="H146" s="124"/>
      <c r="I146" s="18"/>
      <c r="J146" s="8" t="s">
        <v>169</v>
      </c>
      <c r="K146" s="20">
        <v>125</v>
      </c>
      <c r="L146" s="54">
        <f t="shared" si="2"/>
        <v>0</v>
      </c>
      <c r="N146" s="21"/>
      <c r="O146" s="21"/>
      <c r="P146" s="21"/>
      <c r="Q146" s="21"/>
      <c r="R146" s="21"/>
      <c r="S146" s="21"/>
      <c r="T146" s="21"/>
      <c r="U146" s="21"/>
      <c r="V146" s="21"/>
    </row>
    <row r="147" spans="1:22" s="13" customFormat="1" ht="14.1" customHeight="1" x14ac:dyDescent="0.2">
      <c r="A147" s="131"/>
      <c r="B147" s="132"/>
      <c r="C147" s="18"/>
      <c r="D147" s="122" t="s">
        <v>139</v>
      </c>
      <c r="E147" s="123"/>
      <c r="F147" s="123"/>
      <c r="G147" s="123"/>
      <c r="H147" s="124"/>
      <c r="I147" s="18"/>
      <c r="J147" s="8" t="s">
        <v>169</v>
      </c>
      <c r="K147" s="20">
        <v>150</v>
      </c>
      <c r="L147" s="54">
        <f t="shared" si="2"/>
        <v>0</v>
      </c>
      <c r="N147" s="21"/>
      <c r="O147" s="21"/>
      <c r="P147" s="21"/>
      <c r="Q147" s="21"/>
      <c r="R147" s="21"/>
      <c r="S147" s="21"/>
      <c r="T147" s="21"/>
      <c r="U147" s="21"/>
      <c r="V147" s="21"/>
    </row>
    <row r="148" spans="1:22" s="13" customFormat="1" ht="14.1" customHeight="1" x14ac:dyDescent="0.2">
      <c r="A148" s="131"/>
      <c r="B148" s="132"/>
      <c r="C148" s="18"/>
      <c r="D148" s="122" t="s">
        <v>152</v>
      </c>
      <c r="E148" s="123"/>
      <c r="F148" s="123"/>
      <c r="G148" s="123"/>
      <c r="H148" s="124"/>
      <c r="I148" s="18"/>
      <c r="J148" s="8" t="s">
        <v>169</v>
      </c>
      <c r="K148" s="20">
        <v>200</v>
      </c>
      <c r="L148" s="54">
        <f t="shared" si="2"/>
        <v>0</v>
      </c>
      <c r="N148" s="21"/>
      <c r="O148" s="21"/>
      <c r="P148" s="21"/>
      <c r="Q148" s="21"/>
      <c r="R148" s="21"/>
      <c r="S148" s="21"/>
      <c r="T148" s="21"/>
      <c r="U148" s="21"/>
      <c r="V148" s="21"/>
    </row>
    <row r="149" spans="1:22" s="13" customFormat="1" ht="14.1" customHeight="1" x14ac:dyDescent="0.2">
      <c r="A149" s="131"/>
      <c r="B149" s="132"/>
      <c r="C149" s="18"/>
      <c r="D149" s="122" t="s">
        <v>153</v>
      </c>
      <c r="E149" s="123"/>
      <c r="F149" s="123"/>
      <c r="G149" s="123"/>
      <c r="H149" s="124"/>
      <c r="I149" s="18"/>
      <c r="J149" s="8" t="s">
        <v>169</v>
      </c>
      <c r="K149" s="20">
        <v>450</v>
      </c>
      <c r="L149" s="54">
        <f t="shared" si="2"/>
        <v>0</v>
      </c>
      <c r="N149" s="21"/>
      <c r="O149" s="21"/>
      <c r="P149" s="21"/>
      <c r="Q149" s="21"/>
      <c r="R149" s="21"/>
      <c r="S149" s="21"/>
      <c r="T149" s="21"/>
      <c r="U149" s="21"/>
      <c r="V149" s="21"/>
    </row>
    <row r="150" spans="1:22" s="13" customFormat="1" ht="14.1" customHeight="1" x14ac:dyDescent="0.2">
      <c r="A150" s="131"/>
      <c r="B150" s="132"/>
      <c r="C150" s="18"/>
      <c r="D150" s="122" t="s">
        <v>154</v>
      </c>
      <c r="E150" s="123"/>
      <c r="F150" s="123"/>
      <c r="G150" s="123"/>
      <c r="H150" s="124"/>
      <c r="I150" s="18"/>
      <c r="J150" s="8" t="s">
        <v>169</v>
      </c>
      <c r="K150" s="20">
        <v>500</v>
      </c>
      <c r="L150" s="54">
        <f t="shared" si="2"/>
        <v>0</v>
      </c>
      <c r="N150" s="21"/>
      <c r="O150" s="21"/>
      <c r="P150" s="21"/>
      <c r="Q150" s="21"/>
      <c r="R150" s="21"/>
      <c r="S150" s="21"/>
      <c r="T150" s="21"/>
      <c r="U150" s="21"/>
      <c r="V150" s="21"/>
    </row>
    <row r="151" spans="1:22" s="13" customFormat="1" ht="14.1" customHeight="1" x14ac:dyDescent="0.2">
      <c r="A151" s="131"/>
      <c r="B151" s="132"/>
      <c r="C151" s="18"/>
      <c r="D151" s="122" t="s">
        <v>155</v>
      </c>
      <c r="E151" s="123"/>
      <c r="F151" s="123"/>
      <c r="G151" s="123"/>
      <c r="H151" s="124"/>
      <c r="I151" s="18"/>
      <c r="J151" s="8" t="s">
        <v>169</v>
      </c>
      <c r="K151" s="20">
        <v>400</v>
      </c>
      <c r="L151" s="54">
        <f t="shared" si="2"/>
        <v>0</v>
      </c>
      <c r="N151" s="21"/>
      <c r="O151" s="21"/>
      <c r="P151" s="21"/>
      <c r="Q151" s="21"/>
      <c r="R151" s="21"/>
      <c r="S151" s="21"/>
      <c r="T151" s="21"/>
      <c r="U151" s="21"/>
      <c r="V151" s="21"/>
    </row>
    <row r="152" spans="1:22" s="13" customFormat="1" ht="14.1" customHeight="1" x14ac:dyDescent="0.2">
      <c r="A152" s="131"/>
      <c r="B152" s="132"/>
      <c r="C152" s="18"/>
      <c r="D152" s="122" t="s">
        <v>156</v>
      </c>
      <c r="E152" s="123"/>
      <c r="F152" s="123"/>
      <c r="G152" s="123"/>
      <c r="H152" s="124"/>
      <c r="I152" s="18"/>
      <c r="J152" s="8" t="s">
        <v>169</v>
      </c>
      <c r="K152" s="20">
        <v>210</v>
      </c>
      <c r="L152" s="54">
        <f t="shared" si="2"/>
        <v>0</v>
      </c>
      <c r="N152" s="21"/>
      <c r="O152" s="21"/>
      <c r="P152" s="21"/>
      <c r="Q152" s="21"/>
      <c r="R152" s="21"/>
      <c r="S152" s="21"/>
      <c r="T152" s="21"/>
      <c r="U152" s="21"/>
      <c r="V152" s="21"/>
    </row>
    <row r="153" spans="1:22" s="13" customFormat="1" ht="14.1" customHeight="1" thickBot="1" x14ac:dyDescent="0.25">
      <c r="A153" s="157"/>
      <c r="B153" s="158"/>
      <c r="C153" s="42"/>
      <c r="D153" s="167" t="s">
        <v>157</v>
      </c>
      <c r="E153" s="168"/>
      <c r="F153" s="168"/>
      <c r="G153" s="168"/>
      <c r="H153" s="169"/>
      <c r="I153" s="42"/>
      <c r="J153" s="44" t="s">
        <v>169</v>
      </c>
      <c r="K153" s="45">
        <v>75</v>
      </c>
      <c r="L153" s="57">
        <f t="shared" si="2"/>
        <v>0</v>
      </c>
      <c r="N153" s="21"/>
      <c r="O153" s="21"/>
      <c r="P153" s="21"/>
      <c r="Q153" s="21"/>
      <c r="R153" s="21"/>
      <c r="S153" s="21"/>
      <c r="T153" s="21"/>
      <c r="U153" s="21"/>
      <c r="V153" s="21"/>
    </row>
    <row r="154" spans="1:22" s="13" customFormat="1" ht="14.1" customHeight="1" thickTop="1" x14ac:dyDescent="0.2">
      <c r="A154" s="49"/>
      <c r="B154" s="49"/>
      <c r="C154" s="5"/>
      <c r="D154" s="7"/>
      <c r="E154" s="7"/>
      <c r="F154" s="7"/>
      <c r="G154" s="7"/>
      <c r="H154" s="7"/>
      <c r="I154" s="5"/>
      <c r="J154" s="107"/>
      <c r="K154" s="108"/>
      <c r="L154" s="109"/>
      <c r="N154" s="21"/>
      <c r="O154" s="21"/>
      <c r="P154" s="21"/>
      <c r="Q154" s="21"/>
      <c r="R154" s="21"/>
      <c r="S154" s="21"/>
      <c r="T154" s="21"/>
      <c r="U154" s="21"/>
      <c r="V154" s="21"/>
    </row>
    <row r="155" spans="1:22" s="13" customFormat="1" ht="14.1" customHeight="1" x14ac:dyDescent="0.2">
      <c r="A155" s="49"/>
      <c r="B155" s="49"/>
      <c r="C155" s="5"/>
      <c r="D155" s="7"/>
      <c r="E155" s="7"/>
      <c r="F155" s="7"/>
      <c r="G155" s="7"/>
      <c r="H155" s="7"/>
      <c r="I155" s="5"/>
      <c r="J155" s="107"/>
      <c r="K155" s="108"/>
      <c r="L155" s="109"/>
      <c r="N155" s="21"/>
      <c r="O155" s="21"/>
      <c r="P155" s="21"/>
      <c r="Q155" s="21"/>
      <c r="R155" s="21"/>
      <c r="S155" s="21"/>
      <c r="T155" s="21"/>
      <c r="U155" s="21"/>
      <c r="V155" s="21"/>
    </row>
    <row r="156" spans="1:22" s="13" customFormat="1" ht="14.1" customHeight="1" x14ac:dyDescent="0.2">
      <c r="A156" s="49"/>
      <c r="B156" s="49"/>
      <c r="C156" s="5"/>
      <c r="D156" s="7"/>
      <c r="E156" s="7"/>
      <c r="F156" s="7"/>
      <c r="G156" s="7"/>
      <c r="H156" s="7"/>
      <c r="I156" s="5"/>
      <c r="J156" s="107"/>
      <c r="K156" s="108"/>
      <c r="L156" s="109"/>
      <c r="N156" s="21"/>
      <c r="O156" s="21"/>
      <c r="P156" s="21"/>
      <c r="Q156" s="21"/>
      <c r="R156" s="21"/>
      <c r="S156" s="21"/>
      <c r="T156" s="21"/>
      <c r="U156" s="21"/>
      <c r="V156" s="21"/>
    </row>
    <row r="157" spans="1:22" s="3" customFormat="1" ht="21" x14ac:dyDescent="0.35">
      <c r="A157" s="114" t="s">
        <v>51</v>
      </c>
      <c r="B157" s="114"/>
      <c r="C157" s="114"/>
      <c r="D157" s="114"/>
      <c r="E157" s="114"/>
      <c r="F157" s="114"/>
      <c r="G157" s="114"/>
      <c r="H157" s="114"/>
      <c r="I157" s="114"/>
      <c r="J157" s="114"/>
      <c r="K157" s="114"/>
      <c r="L157" s="114"/>
      <c r="N157" s="10"/>
      <c r="O157" s="10"/>
      <c r="P157" s="10"/>
      <c r="Q157" s="10"/>
      <c r="R157" s="10"/>
      <c r="S157" s="10"/>
      <c r="T157" s="10"/>
      <c r="U157" s="10"/>
      <c r="V157" s="10"/>
    </row>
    <row r="158" spans="1:22" s="13" customFormat="1" ht="14.1" customHeight="1" x14ac:dyDescent="0.2">
      <c r="A158" s="154" t="s">
        <v>162</v>
      </c>
      <c r="B158" s="154"/>
      <c r="C158" s="14" t="s">
        <v>30</v>
      </c>
      <c r="D158" s="137" t="s">
        <v>163</v>
      </c>
      <c r="E158" s="137"/>
      <c r="F158" s="137"/>
      <c r="G158" s="137"/>
      <c r="H158" s="137"/>
      <c r="I158" s="14" t="s">
        <v>31</v>
      </c>
      <c r="J158" s="14" t="s">
        <v>165</v>
      </c>
      <c r="K158" s="14" t="s">
        <v>17</v>
      </c>
      <c r="L158" s="15" t="s">
        <v>164</v>
      </c>
      <c r="M158" s="9"/>
      <c r="N158" s="21"/>
      <c r="O158" s="21"/>
      <c r="P158" s="21"/>
      <c r="Q158" s="21"/>
      <c r="R158" s="21"/>
      <c r="S158" s="21"/>
      <c r="T158" s="21"/>
      <c r="U158" s="21"/>
      <c r="V158" s="21"/>
    </row>
    <row r="159" spans="1:22" s="13" customFormat="1" ht="12.75" x14ac:dyDescent="0.2">
      <c r="A159" s="135" t="s">
        <v>45</v>
      </c>
      <c r="B159" s="136"/>
      <c r="C159" s="18"/>
      <c r="D159" s="122" t="s">
        <v>246</v>
      </c>
      <c r="E159" s="123"/>
      <c r="F159" s="123"/>
      <c r="G159" s="123"/>
      <c r="H159" s="124"/>
      <c r="I159" s="18"/>
      <c r="J159" s="8" t="s">
        <v>166</v>
      </c>
      <c r="K159" s="20">
        <v>30</v>
      </c>
      <c r="L159" s="54">
        <f>SUM(I159*K159)</f>
        <v>0</v>
      </c>
      <c r="N159" s="21"/>
      <c r="O159" s="21"/>
      <c r="P159" s="21"/>
      <c r="Q159" s="21"/>
      <c r="R159" s="21"/>
      <c r="S159" s="21"/>
      <c r="T159" s="21"/>
      <c r="U159" s="21"/>
      <c r="V159" s="21"/>
    </row>
    <row r="160" spans="1:22" s="13" customFormat="1" ht="12.75" x14ac:dyDescent="0.2">
      <c r="A160" s="64"/>
      <c r="B160" s="65"/>
      <c r="C160" s="18"/>
      <c r="D160" s="61" t="s">
        <v>247</v>
      </c>
      <c r="E160" s="62"/>
      <c r="F160" s="62"/>
      <c r="G160" s="62"/>
      <c r="H160" s="63"/>
      <c r="I160" s="18"/>
      <c r="J160" s="8" t="s">
        <v>166</v>
      </c>
      <c r="K160" s="20">
        <v>15</v>
      </c>
      <c r="L160" s="54">
        <f>SUM(I160*K160)</f>
        <v>0</v>
      </c>
      <c r="N160" s="21"/>
      <c r="O160" s="21"/>
      <c r="P160" s="21"/>
      <c r="Q160" s="21"/>
      <c r="R160" s="21"/>
      <c r="S160" s="21"/>
      <c r="T160" s="21"/>
      <c r="U160" s="21"/>
      <c r="V160" s="21"/>
    </row>
    <row r="161" spans="1:22" s="13" customFormat="1" ht="12.75" x14ac:dyDescent="0.2">
      <c r="A161" s="131"/>
      <c r="B161" s="132"/>
      <c r="C161" s="18"/>
      <c r="D161" s="122" t="s">
        <v>158</v>
      </c>
      <c r="E161" s="123"/>
      <c r="F161" s="123"/>
      <c r="G161" s="123"/>
      <c r="H161" s="124"/>
      <c r="I161" s="18"/>
      <c r="J161" s="8" t="s">
        <v>169</v>
      </c>
      <c r="K161" s="20">
        <v>1500</v>
      </c>
      <c r="L161" s="54">
        <f t="shared" ref="L161:L195" si="3">SUM(I161*K161)</f>
        <v>0</v>
      </c>
      <c r="N161" s="21"/>
      <c r="O161" s="21"/>
      <c r="P161" s="21"/>
      <c r="Q161" s="21"/>
      <c r="R161" s="21"/>
      <c r="S161" s="21"/>
      <c r="T161" s="21"/>
      <c r="U161" s="21"/>
      <c r="V161" s="21"/>
    </row>
    <row r="162" spans="1:22" s="13" customFormat="1" ht="12.75" x14ac:dyDescent="0.2">
      <c r="A162" s="133"/>
      <c r="B162" s="134"/>
      <c r="C162" s="18"/>
      <c r="D162" s="122" t="s">
        <v>159</v>
      </c>
      <c r="E162" s="123"/>
      <c r="F162" s="123"/>
      <c r="G162" s="123"/>
      <c r="H162" s="124"/>
      <c r="I162" s="18"/>
      <c r="J162" s="8" t="s">
        <v>166</v>
      </c>
      <c r="K162" s="20">
        <v>1.85</v>
      </c>
      <c r="L162" s="54">
        <f t="shared" si="3"/>
        <v>0</v>
      </c>
      <c r="N162" s="21"/>
      <c r="O162" s="21"/>
      <c r="P162" s="21"/>
      <c r="Q162" s="21"/>
      <c r="R162" s="21"/>
      <c r="S162" s="21"/>
      <c r="T162" s="21"/>
      <c r="U162" s="21"/>
      <c r="V162" s="21"/>
    </row>
    <row r="163" spans="1:22" s="13" customFormat="1" ht="12.75" x14ac:dyDescent="0.2">
      <c r="A163" s="135" t="s">
        <v>46</v>
      </c>
      <c r="B163" s="136"/>
      <c r="C163" s="18"/>
      <c r="D163" s="122" t="s">
        <v>160</v>
      </c>
      <c r="E163" s="123"/>
      <c r="F163" s="123"/>
      <c r="G163" s="123"/>
      <c r="H163" s="124"/>
      <c r="I163" s="18"/>
      <c r="J163" s="8" t="s">
        <v>166</v>
      </c>
      <c r="K163" s="20">
        <v>1</v>
      </c>
      <c r="L163" s="54">
        <f t="shared" si="3"/>
        <v>0</v>
      </c>
      <c r="N163" s="21"/>
      <c r="O163" s="21"/>
      <c r="P163" s="21"/>
      <c r="Q163" s="21"/>
      <c r="R163" s="21"/>
      <c r="S163" s="21"/>
      <c r="T163" s="21"/>
      <c r="U163" s="21"/>
      <c r="V163" s="21"/>
    </row>
    <row r="164" spans="1:22" s="13" customFormat="1" ht="12.75" x14ac:dyDescent="0.2">
      <c r="A164" s="131"/>
      <c r="B164" s="132"/>
      <c r="C164" s="18"/>
      <c r="D164" s="122" t="s">
        <v>161</v>
      </c>
      <c r="E164" s="123"/>
      <c r="F164" s="123"/>
      <c r="G164" s="123"/>
      <c r="H164" s="124"/>
      <c r="I164" s="18"/>
      <c r="J164" s="8" t="s">
        <v>166</v>
      </c>
      <c r="K164" s="20">
        <v>1.25</v>
      </c>
      <c r="L164" s="54">
        <f t="shared" si="3"/>
        <v>0</v>
      </c>
      <c r="N164" s="21"/>
      <c r="O164" s="21"/>
      <c r="P164" s="21"/>
      <c r="Q164" s="21"/>
      <c r="R164" s="21"/>
      <c r="S164" s="21"/>
      <c r="T164" s="21"/>
      <c r="U164" s="21"/>
      <c r="V164" s="21"/>
    </row>
    <row r="165" spans="1:22" s="13" customFormat="1" ht="12.75" x14ac:dyDescent="0.2">
      <c r="A165" s="133"/>
      <c r="B165" s="134"/>
      <c r="C165" s="18"/>
      <c r="D165" s="122" t="s">
        <v>56</v>
      </c>
      <c r="E165" s="123"/>
      <c r="F165" s="123"/>
      <c r="G165" s="123"/>
      <c r="H165" s="124"/>
      <c r="I165" s="18"/>
      <c r="J165" s="8" t="s">
        <v>166</v>
      </c>
      <c r="K165" s="20">
        <v>0.8</v>
      </c>
      <c r="L165" s="54">
        <f t="shared" si="3"/>
        <v>0</v>
      </c>
      <c r="N165" s="21"/>
      <c r="O165" s="21"/>
      <c r="P165" s="21"/>
      <c r="Q165" s="21"/>
      <c r="R165" s="21"/>
      <c r="S165" s="21"/>
      <c r="T165" s="21"/>
      <c r="U165" s="21"/>
      <c r="V165" s="21"/>
    </row>
    <row r="166" spans="1:22" s="13" customFormat="1" ht="12.75" x14ac:dyDescent="0.2">
      <c r="A166" s="135" t="s">
        <v>47</v>
      </c>
      <c r="B166" s="136"/>
      <c r="C166" s="18"/>
      <c r="D166" s="122" t="s">
        <v>18</v>
      </c>
      <c r="E166" s="123"/>
      <c r="F166" s="123"/>
      <c r="G166" s="123"/>
      <c r="H166" s="124"/>
      <c r="I166" s="18"/>
      <c r="J166" s="8" t="s">
        <v>166</v>
      </c>
      <c r="K166" s="20">
        <v>6</v>
      </c>
      <c r="L166" s="54">
        <f t="shared" si="3"/>
        <v>0</v>
      </c>
      <c r="N166" s="21"/>
      <c r="O166" s="21"/>
      <c r="P166" s="21"/>
      <c r="Q166" s="21"/>
      <c r="R166" s="21"/>
      <c r="S166" s="21"/>
      <c r="T166" s="21"/>
      <c r="U166" s="21"/>
      <c r="V166" s="21"/>
    </row>
    <row r="167" spans="1:22" s="13" customFormat="1" ht="12.75" x14ac:dyDescent="0.2">
      <c r="A167" s="131"/>
      <c r="B167" s="132"/>
      <c r="C167" s="18"/>
      <c r="D167" s="122" t="s">
        <v>57</v>
      </c>
      <c r="E167" s="123"/>
      <c r="F167" s="123"/>
      <c r="G167" s="123"/>
      <c r="H167" s="124"/>
      <c r="I167" s="18"/>
      <c r="J167" s="8" t="s">
        <v>166</v>
      </c>
      <c r="K167" s="20">
        <v>2.5</v>
      </c>
      <c r="L167" s="54">
        <f t="shared" si="3"/>
        <v>0</v>
      </c>
      <c r="N167" s="21"/>
      <c r="O167" s="21"/>
      <c r="P167" s="21"/>
      <c r="Q167" s="21"/>
      <c r="R167" s="21"/>
      <c r="S167" s="21"/>
      <c r="T167" s="21"/>
      <c r="U167" s="21"/>
      <c r="V167" s="21"/>
    </row>
    <row r="168" spans="1:22" s="13" customFormat="1" ht="12.75" x14ac:dyDescent="0.2">
      <c r="A168" s="131"/>
      <c r="B168" s="132"/>
      <c r="C168" s="18"/>
      <c r="D168" s="122" t="s">
        <v>58</v>
      </c>
      <c r="E168" s="123"/>
      <c r="F168" s="123"/>
      <c r="G168" s="123"/>
      <c r="H168" s="124"/>
      <c r="I168" s="18"/>
      <c r="J168" s="8" t="s">
        <v>166</v>
      </c>
      <c r="K168" s="20">
        <v>4</v>
      </c>
      <c r="L168" s="54">
        <f t="shared" si="3"/>
        <v>0</v>
      </c>
      <c r="N168" s="21"/>
      <c r="O168" s="21"/>
      <c r="P168" s="21"/>
      <c r="Q168" s="21"/>
      <c r="R168" s="21"/>
      <c r="S168" s="21"/>
      <c r="T168" s="21"/>
      <c r="U168" s="21"/>
      <c r="V168" s="21"/>
    </row>
    <row r="169" spans="1:22" s="13" customFormat="1" ht="12.75" x14ac:dyDescent="0.2">
      <c r="A169" s="131"/>
      <c r="B169" s="132"/>
      <c r="C169" s="18"/>
      <c r="D169" s="122" t="s">
        <v>59</v>
      </c>
      <c r="E169" s="123"/>
      <c r="F169" s="123"/>
      <c r="G169" s="123"/>
      <c r="H169" s="124"/>
      <c r="I169" s="18"/>
      <c r="J169" s="8" t="s">
        <v>166</v>
      </c>
      <c r="K169" s="20">
        <v>1</v>
      </c>
      <c r="L169" s="54">
        <f t="shared" si="3"/>
        <v>0</v>
      </c>
      <c r="N169" s="21"/>
      <c r="O169" s="21"/>
      <c r="P169" s="21"/>
      <c r="Q169" s="21"/>
      <c r="R169" s="21"/>
      <c r="S169" s="21"/>
      <c r="T169" s="21"/>
      <c r="U169" s="21"/>
      <c r="V169" s="21"/>
    </row>
    <row r="170" spans="1:22" s="13" customFormat="1" ht="12.75" x14ac:dyDescent="0.2">
      <c r="A170" s="133"/>
      <c r="B170" s="134"/>
      <c r="C170" s="18"/>
      <c r="D170" s="122" t="s">
        <v>60</v>
      </c>
      <c r="E170" s="123"/>
      <c r="F170" s="123"/>
      <c r="G170" s="123"/>
      <c r="H170" s="124"/>
      <c r="I170" s="18"/>
      <c r="J170" s="8" t="s">
        <v>169</v>
      </c>
      <c r="K170" s="20">
        <v>500</v>
      </c>
      <c r="L170" s="54">
        <f t="shared" si="3"/>
        <v>0</v>
      </c>
      <c r="N170" s="21"/>
      <c r="O170" s="21"/>
      <c r="P170" s="21"/>
      <c r="Q170" s="21"/>
      <c r="R170" s="21"/>
      <c r="S170" s="21"/>
      <c r="T170" s="21"/>
      <c r="U170" s="21"/>
      <c r="V170" s="21"/>
    </row>
    <row r="171" spans="1:22" s="13" customFormat="1" ht="12.75" x14ac:dyDescent="0.2">
      <c r="A171" s="135" t="s">
        <v>48</v>
      </c>
      <c r="B171" s="136"/>
      <c r="C171" s="18"/>
      <c r="D171" s="151" t="s">
        <v>5</v>
      </c>
      <c r="E171" s="152"/>
      <c r="F171" s="152"/>
      <c r="G171" s="152"/>
      <c r="H171" s="153"/>
      <c r="I171" s="18"/>
      <c r="J171" s="8" t="s">
        <v>169</v>
      </c>
      <c r="K171" s="20">
        <v>4000</v>
      </c>
      <c r="L171" s="54">
        <f t="shared" si="3"/>
        <v>0</v>
      </c>
      <c r="N171" s="21"/>
      <c r="O171" s="21"/>
      <c r="P171" s="21"/>
      <c r="Q171" s="21"/>
      <c r="R171" s="21"/>
      <c r="S171" s="21"/>
      <c r="T171" s="21"/>
      <c r="U171" s="21"/>
      <c r="V171" s="21"/>
    </row>
    <row r="172" spans="1:22" s="13" customFormat="1" ht="12.75" x14ac:dyDescent="0.2">
      <c r="A172" s="131"/>
      <c r="B172" s="132"/>
      <c r="C172" s="18"/>
      <c r="D172" s="151" t="s">
        <v>6</v>
      </c>
      <c r="E172" s="152"/>
      <c r="F172" s="152"/>
      <c r="G172" s="152"/>
      <c r="H172" s="153"/>
      <c r="I172" s="18"/>
      <c r="J172" s="8" t="s">
        <v>169</v>
      </c>
      <c r="K172" s="20">
        <v>2000</v>
      </c>
      <c r="L172" s="54">
        <f t="shared" si="3"/>
        <v>0</v>
      </c>
      <c r="N172" s="21"/>
      <c r="O172" s="21"/>
      <c r="P172" s="21"/>
      <c r="Q172" s="21"/>
      <c r="R172" s="21"/>
      <c r="S172" s="21"/>
      <c r="T172" s="21"/>
      <c r="U172" s="21"/>
      <c r="V172" s="21"/>
    </row>
    <row r="173" spans="1:22" s="13" customFormat="1" ht="12.75" x14ac:dyDescent="0.2">
      <c r="A173" s="131"/>
      <c r="B173" s="132"/>
      <c r="C173" s="18"/>
      <c r="D173" s="122" t="s">
        <v>61</v>
      </c>
      <c r="E173" s="123"/>
      <c r="F173" s="123"/>
      <c r="G173" s="123"/>
      <c r="H173" s="124"/>
      <c r="I173" s="18"/>
      <c r="J173" s="8" t="s">
        <v>169</v>
      </c>
      <c r="K173" s="20">
        <v>175</v>
      </c>
      <c r="L173" s="54">
        <f t="shared" si="3"/>
        <v>0</v>
      </c>
      <c r="N173" s="21"/>
      <c r="O173" s="21"/>
      <c r="P173" s="21"/>
      <c r="Q173" s="21"/>
      <c r="R173" s="21"/>
      <c r="S173" s="21"/>
      <c r="T173" s="21"/>
      <c r="U173" s="21"/>
      <c r="V173" s="21"/>
    </row>
    <row r="174" spans="1:22" s="13" customFormat="1" ht="12.75" x14ac:dyDescent="0.2">
      <c r="A174" s="131"/>
      <c r="B174" s="132"/>
      <c r="C174" s="18"/>
      <c r="D174" s="122" t="s">
        <v>62</v>
      </c>
      <c r="E174" s="123"/>
      <c r="F174" s="123"/>
      <c r="G174" s="123"/>
      <c r="H174" s="124"/>
      <c r="I174" s="18"/>
      <c r="J174" s="8" t="s">
        <v>169</v>
      </c>
      <c r="K174" s="20">
        <v>175</v>
      </c>
      <c r="L174" s="54">
        <f t="shared" si="3"/>
        <v>0</v>
      </c>
      <c r="N174" s="21"/>
      <c r="O174" s="21"/>
      <c r="P174" s="21"/>
      <c r="Q174" s="21"/>
      <c r="R174" s="21"/>
      <c r="S174" s="21"/>
      <c r="T174" s="21"/>
      <c r="U174" s="21"/>
      <c r="V174" s="21"/>
    </row>
    <row r="175" spans="1:22" s="13" customFormat="1" ht="12.75" x14ac:dyDescent="0.2">
      <c r="A175" s="131"/>
      <c r="B175" s="132"/>
      <c r="C175" s="18"/>
      <c r="D175" s="122" t="s">
        <v>63</v>
      </c>
      <c r="E175" s="123"/>
      <c r="F175" s="123"/>
      <c r="G175" s="123"/>
      <c r="H175" s="124"/>
      <c r="I175" s="18"/>
      <c r="J175" s="8" t="s">
        <v>169</v>
      </c>
      <c r="K175" s="20">
        <v>150</v>
      </c>
      <c r="L175" s="54">
        <f t="shared" si="3"/>
        <v>0</v>
      </c>
      <c r="N175" s="21"/>
      <c r="O175" s="21"/>
      <c r="P175" s="21"/>
      <c r="Q175" s="21"/>
      <c r="R175" s="21"/>
      <c r="S175" s="21"/>
      <c r="T175" s="21"/>
      <c r="U175" s="21"/>
      <c r="V175" s="21"/>
    </row>
    <row r="176" spans="1:22" s="13" customFormat="1" ht="12.75" x14ac:dyDescent="0.2">
      <c r="A176" s="131"/>
      <c r="B176" s="132"/>
      <c r="C176" s="18"/>
      <c r="D176" s="122" t="s">
        <v>64</v>
      </c>
      <c r="E176" s="123"/>
      <c r="F176" s="123"/>
      <c r="G176" s="123"/>
      <c r="H176" s="124"/>
      <c r="I176" s="18"/>
      <c r="J176" s="8" t="s">
        <v>169</v>
      </c>
      <c r="K176" s="20">
        <v>700</v>
      </c>
      <c r="L176" s="54">
        <f t="shared" si="3"/>
        <v>0</v>
      </c>
      <c r="N176" s="21"/>
      <c r="O176" s="21"/>
      <c r="P176" s="21"/>
      <c r="Q176" s="21"/>
      <c r="R176" s="21"/>
      <c r="S176" s="21"/>
      <c r="T176" s="21"/>
      <c r="U176" s="21"/>
      <c r="V176" s="21"/>
    </row>
    <row r="177" spans="1:22" s="13" customFormat="1" ht="12.75" x14ac:dyDescent="0.2">
      <c r="A177" s="131"/>
      <c r="B177" s="132"/>
      <c r="C177" s="18"/>
      <c r="D177" s="122" t="s">
        <v>65</v>
      </c>
      <c r="E177" s="123"/>
      <c r="F177" s="123"/>
      <c r="G177" s="123"/>
      <c r="H177" s="124"/>
      <c r="I177" s="18"/>
      <c r="J177" s="8" t="s">
        <v>169</v>
      </c>
      <c r="K177" s="20">
        <v>850</v>
      </c>
      <c r="L177" s="54">
        <f t="shared" si="3"/>
        <v>0</v>
      </c>
      <c r="N177" s="21"/>
      <c r="O177" s="21"/>
      <c r="P177" s="21"/>
      <c r="Q177" s="21"/>
      <c r="R177" s="21"/>
      <c r="S177" s="21"/>
      <c r="T177" s="21"/>
      <c r="U177" s="21"/>
      <c r="V177" s="21"/>
    </row>
    <row r="178" spans="1:22" s="13" customFormat="1" ht="12.75" x14ac:dyDescent="0.2">
      <c r="A178" s="131"/>
      <c r="B178" s="132"/>
      <c r="C178" s="18"/>
      <c r="D178" s="122" t="s">
        <v>66</v>
      </c>
      <c r="E178" s="123"/>
      <c r="F178" s="123"/>
      <c r="G178" s="123"/>
      <c r="H178" s="124"/>
      <c r="I178" s="18"/>
      <c r="J178" s="8" t="s">
        <v>174</v>
      </c>
      <c r="K178" s="20">
        <v>3.75</v>
      </c>
      <c r="L178" s="54">
        <f t="shared" si="3"/>
        <v>0</v>
      </c>
      <c r="N178" s="21"/>
      <c r="O178" s="21"/>
      <c r="P178" s="21"/>
      <c r="Q178" s="21"/>
      <c r="R178" s="21"/>
      <c r="S178" s="21"/>
      <c r="T178" s="21"/>
      <c r="U178" s="21"/>
      <c r="V178" s="21"/>
    </row>
    <row r="179" spans="1:22" s="13" customFormat="1" ht="12.75" x14ac:dyDescent="0.2">
      <c r="A179" s="131"/>
      <c r="B179" s="132"/>
      <c r="C179" s="18"/>
      <c r="D179" s="122" t="s">
        <v>67</v>
      </c>
      <c r="E179" s="123"/>
      <c r="F179" s="123"/>
      <c r="G179" s="123"/>
      <c r="H179" s="124"/>
      <c r="I179" s="18"/>
      <c r="J179" s="8" t="s">
        <v>174</v>
      </c>
      <c r="K179" s="20">
        <v>2.75</v>
      </c>
      <c r="L179" s="54">
        <f t="shared" si="3"/>
        <v>0</v>
      </c>
      <c r="N179" s="21"/>
      <c r="O179" s="21"/>
      <c r="P179" s="21"/>
      <c r="Q179" s="21"/>
      <c r="R179" s="21"/>
      <c r="S179" s="21"/>
      <c r="T179" s="21"/>
      <c r="U179" s="21"/>
      <c r="V179" s="21"/>
    </row>
    <row r="180" spans="1:22" s="13" customFormat="1" ht="12.75" x14ac:dyDescent="0.2">
      <c r="A180" s="133"/>
      <c r="B180" s="134"/>
      <c r="C180" s="18"/>
      <c r="D180" s="122" t="s">
        <v>68</v>
      </c>
      <c r="E180" s="123"/>
      <c r="F180" s="123"/>
      <c r="G180" s="123"/>
      <c r="H180" s="124"/>
      <c r="I180" s="18"/>
      <c r="J180" s="8" t="s">
        <v>174</v>
      </c>
      <c r="K180" s="20">
        <v>17.5</v>
      </c>
      <c r="L180" s="54">
        <f t="shared" si="3"/>
        <v>0</v>
      </c>
      <c r="N180" s="21"/>
      <c r="O180" s="21"/>
      <c r="P180" s="21"/>
      <c r="Q180" s="21"/>
      <c r="R180" s="21"/>
      <c r="S180" s="21"/>
      <c r="T180" s="21"/>
      <c r="U180" s="21"/>
      <c r="V180" s="21"/>
    </row>
    <row r="181" spans="1:22" s="13" customFormat="1" ht="12.75" x14ac:dyDescent="0.2">
      <c r="A181" s="135" t="s">
        <v>49</v>
      </c>
      <c r="B181" s="136"/>
      <c r="C181" s="18"/>
      <c r="D181" s="122" t="s">
        <v>69</v>
      </c>
      <c r="E181" s="123"/>
      <c r="F181" s="123"/>
      <c r="G181" s="123"/>
      <c r="H181" s="124"/>
      <c r="I181" s="18"/>
      <c r="J181" s="8" t="s">
        <v>70</v>
      </c>
      <c r="K181" s="20">
        <v>175</v>
      </c>
      <c r="L181" s="54">
        <f t="shared" si="3"/>
        <v>0</v>
      </c>
      <c r="N181" s="21"/>
      <c r="O181" s="21"/>
      <c r="P181" s="21"/>
      <c r="Q181" s="21"/>
      <c r="R181" s="21"/>
      <c r="S181" s="21"/>
      <c r="T181" s="21"/>
      <c r="U181" s="21"/>
      <c r="V181" s="21"/>
    </row>
    <row r="182" spans="1:22" s="13" customFormat="1" ht="12.75" x14ac:dyDescent="0.2">
      <c r="A182" s="131"/>
      <c r="B182" s="132"/>
      <c r="C182" s="18"/>
      <c r="D182" s="122" t="s">
        <v>71</v>
      </c>
      <c r="E182" s="123"/>
      <c r="F182" s="123"/>
      <c r="G182" s="123"/>
      <c r="H182" s="124"/>
      <c r="I182" s="18"/>
      <c r="J182" s="8" t="s">
        <v>169</v>
      </c>
      <c r="K182" s="20">
        <v>250</v>
      </c>
      <c r="L182" s="54">
        <f t="shared" si="3"/>
        <v>0</v>
      </c>
      <c r="N182" s="21"/>
      <c r="O182" s="21"/>
      <c r="P182" s="21"/>
      <c r="Q182" s="21"/>
      <c r="R182" s="21"/>
      <c r="S182" s="21"/>
      <c r="T182" s="21"/>
      <c r="U182" s="21"/>
      <c r="V182" s="21"/>
    </row>
    <row r="183" spans="1:22" s="13" customFormat="1" ht="12.75" x14ac:dyDescent="0.2">
      <c r="A183" s="131"/>
      <c r="B183" s="132"/>
      <c r="C183" s="18"/>
      <c r="D183" s="147" t="s">
        <v>9</v>
      </c>
      <c r="E183" s="148"/>
      <c r="F183" s="148"/>
      <c r="G183" s="148"/>
      <c r="H183" s="149"/>
      <c r="I183" s="18"/>
      <c r="J183" s="48" t="s">
        <v>10</v>
      </c>
      <c r="K183" s="20">
        <v>1000</v>
      </c>
      <c r="L183" s="54">
        <f t="shared" si="3"/>
        <v>0</v>
      </c>
      <c r="N183" s="21"/>
      <c r="O183" s="21"/>
      <c r="P183" s="21"/>
      <c r="Q183" s="21"/>
      <c r="R183" s="21"/>
      <c r="S183" s="21"/>
      <c r="T183" s="21"/>
      <c r="U183" s="21"/>
      <c r="V183" s="21"/>
    </row>
    <row r="184" spans="1:22" s="13" customFormat="1" ht="12.75" x14ac:dyDescent="0.2">
      <c r="A184" s="131"/>
      <c r="B184" s="132"/>
      <c r="C184" s="18"/>
      <c r="D184" s="147" t="s">
        <v>249</v>
      </c>
      <c r="E184" s="148"/>
      <c r="F184" s="148"/>
      <c r="G184" s="148"/>
      <c r="H184" s="149"/>
      <c r="I184" s="18"/>
      <c r="J184" s="48" t="s">
        <v>166</v>
      </c>
      <c r="K184" s="20">
        <v>125</v>
      </c>
      <c r="L184" s="54">
        <f t="shared" si="3"/>
        <v>0</v>
      </c>
      <c r="N184" s="21"/>
      <c r="O184" s="21"/>
      <c r="P184" s="21"/>
      <c r="Q184" s="21"/>
      <c r="R184" s="21"/>
      <c r="S184" s="21"/>
      <c r="T184" s="21"/>
      <c r="U184" s="21"/>
      <c r="V184" s="21"/>
    </row>
    <row r="185" spans="1:22" s="13" customFormat="1" ht="12.75" x14ac:dyDescent="0.2">
      <c r="A185" s="131"/>
      <c r="B185" s="132"/>
      <c r="C185" s="18"/>
      <c r="D185" s="122" t="s">
        <v>72</v>
      </c>
      <c r="E185" s="123"/>
      <c r="F185" s="123"/>
      <c r="G185" s="123"/>
      <c r="H185" s="124"/>
      <c r="I185" s="18"/>
      <c r="J185" s="8" t="s">
        <v>169</v>
      </c>
      <c r="K185" s="20">
        <v>500</v>
      </c>
      <c r="L185" s="54">
        <f t="shared" si="3"/>
        <v>0</v>
      </c>
      <c r="N185" s="21"/>
      <c r="O185" s="21"/>
      <c r="P185" s="21"/>
      <c r="Q185" s="21"/>
      <c r="R185" s="21"/>
      <c r="S185" s="21"/>
      <c r="T185" s="21"/>
      <c r="U185" s="21"/>
      <c r="V185" s="21"/>
    </row>
    <row r="186" spans="1:22" s="13" customFormat="1" ht="12.75" x14ac:dyDescent="0.2">
      <c r="A186" s="133"/>
      <c r="B186" s="134"/>
      <c r="C186" s="18"/>
      <c r="D186" s="122" t="s">
        <v>73</v>
      </c>
      <c r="E186" s="123"/>
      <c r="F186" s="123"/>
      <c r="G186" s="123"/>
      <c r="H186" s="124"/>
      <c r="I186" s="18"/>
      <c r="J186" s="8" t="s">
        <v>169</v>
      </c>
      <c r="K186" s="20">
        <v>1000</v>
      </c>
      <c r="L186" s="54">
        <f t="shared" si="3"/>
        <v>0</v>
      </c>
      <c r="N186" s="21"/>
      <c r="O186" s="21"/>
      <c r="P186" s="21"/>
      <c r="Q186" s="21"/>
      <c r="R186" s="21"/>
      <c r="S186" s="21"/>
      <c r="T186" s="21"/>
      <c r="U186" s="21"/>
      <c r="V186" s="21"/>
    </row>
    <row r="187" spans="1:22" s="13" customFormat="1" ht="12.75" x14ac:dyDescent="0.2">
      <c r="A187" s="135" t="s">
        <v>220</v>
      </c>
      <c r="B187" s="136"/>
      <c r="C187" s="18"/>
      <c r="D187" s="122" t="s">
        <v>74</v>
      </c>
      <c r="E187" s="123"/>
      <c r="F187" s="123"/>
      <c r="G187" s="123"/>
      <c r="H187" s="124"/>
      <c r="I187" s="18"/>
      <c r="J187" s="8" t="s">
        <v>174</v>
      </c>
      <c r="K187" s="20">
        <v>20</v>
      </c>
      <c r="L187" s="54">
        <f t="shared" si="3"/>
        <v>0</v>
      </c>
      <c r="N187" s="21"/>
      <c r="O187" s="21"/>
      <c r="P187" s="21"/>
      <c r="Q187" s="21"/>
      <c r="R187" s="21"/>
      <c r="S187" s="21"/>
      <c r="T187" s="21"/>
      <c r="U187" s="21"/>
      <c r="V187" s="21"/>
    </row>
    <row r="188" spans="1:22" s="13" customFormat="1" ht="12.75" x14ac:dyDescent="0.2">
      <c r="A188" s="150" t="s">
        <v>248</v>
      </c>
      <c r="B188" s="113"/>
      <c r="C188" s="18"/>
      <c r="D188" s="122" t="s">
        <v>75</v>
      </c>
      <c r="E188" s="123"/>
      <c r="F188" s="123"/>
      <c r="G188" s="123"/>
      <c r="H188" s="124"/>
      <c r="I188" s="18"/>
      <c r="J188" s="8" t="s">
        <v>174</v>
      </c>
      <c r="K188" s="20">
        <v>10</v>
      </c>
      <c r="L188" s="54">
        <f t="shared" si="3"/>
        <v>0</v>
      </c>
      <c r="N188" s="21"/>
      <c r="O188" s="21"/>
      <c r="P188" s="21"/>
      <c r="Q188" s="21"/>
      <c r="R188" s="21"/>
      <c r="S188" s="21"/>
      <c r="T188" s="21"/>
      <c r="U188" s="21"/>
      <c r="V188" s="21"/>
    </row>
    <row r="189" spans="1:22" s="13" customFormat="1" ht="12.75" x14ac:dyDescent="0.2">
      <c r="A189" s="150"/>
      <c r="B189" s="113"/>
      <c r="C189" s="18"/>
      <c r="D189" s="122" t="s">
        <v>76</v>
      </c>
      <c r="E189" s="123"/>
      <c r="F189" s="123"/>
      <c r="G189" s="123"/>
      <c r="H189" s="124"/>
      <c r="I189" s="18"/>
      <c r="J189" s="8" t="s">
        <v>174</v>
      </c>
      <c r="K189" s="20">
        <v>30</v>
      </c>
      <c r="L189" s="54">
        <f t="shared" si="3"/>
        <v>0</v>
      </c>
      <c r="N189" s="21"/>
      <c r="O189" s="21"/>
      <c r="P189" s="21"/>
      <c r="Q189" s="21"/>
      <c r="R189" s="21"/>
      <c r="S189" s="21"/>
      <c r="T189" s="21"/>
      <c r="U189" s="21"/>
      <c r="V189" s="21"/>
    </row>
    <row r="190" spans="1:22" s="13" customFormat="1" ht="12.75" x14ac:dyDescent="0.2">
      <c r="A190" s="131"/>
      <c r="B190" s="132"/>
      <c r="C190" s="18"/>
      <c r="D190" s="122" t="s">
        <v>77</v>
      </c>
      <c r="E190" s="123"/>
      <c r="F190" s="123"/>
      <c r="G190" s="123"/>
      <c r="H190" s="124"/>
      <c r="I190" s="18"/>
      <c r="J190" s="8" t="s">
        <v>166</v>
      </c>
      <c r="K190" s="20">
        <v>4</v>
      </c>
      <c r="L190" s="54">
        <f t="shared" si="3"/>
        <v>0</v>
      </c>
      <c r="N190" s="21"/>
      <c r="O190" s="21"/>
      <c r="P190" s="21"/>
      <c r="Q190" s="21"/>
      <c r="R190" s="21"/>
      <c r="S190" s="21"/>
      <c r="T190" s="21"/>
      <c r="U190" s="21"/>
      <c r="V190" s="21"/>
    </row>
    <row r="191" spans="1:22" s="13" customFormat="1" ht="12.75" x14ac:dyDescent="0.2">
      <c r="A191" s="131"/>
      <c r="B191" s="132"/>
      <c r="C191" s="18"/>
      <c r="D191" s="122" t="s">
        <v>78</v>
      </c>
      <c r="E191" s="123"/>
      <c r="F191" s="123"/>
      <c r="G191" s="123"/>
      <c r="H191" s="124"/>
      <c r="I191" s="18"/>
      <c r="J191" s="8" t="s">
        <v>174</v>
      </c>
      <c r="K191" s="20">
        <v>100</v>
      </c>
      <c r="L191" s="54">
        <f t="shared" si="3"/>
        <v>0</v>
      </c>
      <c r="N191" s="21"/>
      <c r="O191" s="21"/>
      <c r="P191" s="21"/>
      <c r="Q191" s="21"/>
      <c r="R191" s="21"/>
      <c r="S191" s="21"/>
      <c r="T191" s="21"/>
      <c r="U191" s="21"/>
      <c r="V191" s="21"/>
    </row>
    <row r="192" spans="1:22" s="13" customFormat="1" ht="12.75" x14ac:dyDescent="0.2">
      <c r="A192" s="131"/>
      <c r="B192" s="132"/>
      <c r="C192" s="18"/>
      <c r="D192" s="122" t="s">
        <v>79</v>
      </c>
      <c r="E192" s="123"/>
      <c r="F192" s="123"/>
      <c r="G192" s="123"/>
      <c r="H192" s="124"/>
      <c r="I192" s="18"/>
      <c r="J192" s="8" t="s">
        <v>169</v>
      </c>
      <c r="K192" s="20">
        <v>10000</v>
      </c>
      <c r="L192" s="54">
        <f t="shared" si="3"/>
        <v>0</v>
      </c>
      <c r="N192" s="21"/>
      <c r="O192" s="21"/>
      <c r="P192" s="21"/>
      <c r="Q192" s="21"/>
      <c r="R192" s="21"/>
      <c r="S192" s="21"/>
      <c r="T192" s="21"/>
      <c r="U192" s="21"/>
      <c r="V192" s="21"/>
    </row>
    <row r="193" spans="1:22" s="13" customFormat="1" ht="12.75" x14ac:dyDescent="0.2">
      <c r="A193" s="131"/>
      <c r="B193" s="132"/>
      <c r="C193" s="18"/>
      <c r="D193" s="122" t="s">
        <v>80</v>
      </c>
      <c r="E193" s="123"/>
      <c r="F193" s="123"/>
      <c r="G193" s="123"/>
      <c r="H193" s="124"/>
      <c r="I193" s="18"/>
      <c r="J193" s="8" t="s">
        <v>169</v>
      </c>
      <c r="K193" s="20">
        <v>500</v>
      </c>
      <c r="L193" s="54">
        <f t="shared" si="3"/>
        <v>0</v>
      </c>
      <c r="N193" s="21"/>
      <c r="O193" s="21"/>
      <c r="P193" s="21"/>
      <c r="Q193" s="21"/>
      <c r="R193" s="21"/>
      <c r="S193" s="21"/>
      <c r="T193" s="21"/>
      <c r="U193" s="21"/>
      <c r="V193" s="21"/>
    </row>
    <row r="194" spans="1:22" s="13" customFormat="1" ht="12.75" x14ac:dyDescent="0.2">
      <c r="A194" s="131"/>
      <c r="B194" s="132"/>
      <c r="C194" s="18"/>
      <c r="D194" s="122" t="s">
        <v>81</v>
      </c>
      <c r="E194" s="123"/>
      <c r="F194" s="123"/>
      <c r="G194" s="123"/>
      <c r="H194" s="124"/>
      <c r="I194" s="18"/>
      <c r="J194" s="8" t="s">
        <v>169</v>
      </c>
      <c r="K194" s="20">
        <v>500</v>
      </c>
      <c r="L194" s="54">
        <f t="shared" si="3"/>
        <v>0</v>
      </c>
      <c r="N194" s="21"/>
      <c r="O194" s="21"/>
      <c r="P194" s="21"/>
      <c r="Q194" s="21"/>
      <c r="R194" s="21"/>
      <c r="S194" s="21"/>
      <c r="T194" s="21"/>
      <c r="U194" s="21"/>
      <c r="V194" s="21"/>
    </row>
    <row r="195" spans="1:22" s="13" customFormat="1" ht="12.75" x14ac:dyDescent="0.2">
      <c r="A195" s="133"/>
      <c r="B195" s="134"/>
      <c r="C195" s="18"/>
      <c r="D195" s="122" t="s">
        <v>19</v>
      </c>
      <c r="E195" s="123"/>
      <c r="F195" s="123"/>
      <c r="G195" s="123"/>
      <c r="H195" s="124"/>
      <c r="I195" s="18"/>
      <c r="J195" s="8" t="s">
        <v>169</v>
      </c>
      <c r="K195" s="20">
        <v>850</v>
      </c>
      <c r="L195" s="54">
        <f t="shared" si="3"/>
        <v>0</v>
      </c>
      <c r="N195" s="21"/>
      <c r="O195" s="21"/>
      <c r="P195" s="21"/>
      <c r="Q195" s="21"/>
      <c r="R195" s="21"/>
      <c r="S195" s="21"/>
      <c r="T195" s="21"/>
      <c r="U195" s="21"/>
      <c r="V195" s="21"/>
    </row>
    <row r="196" spans="1:22" s="3" customFormat="1" x14ac:dyDescent="0.25">
      <c r="A196" s="34"/>
      <c r="B196" s="34"/>
      <c r="C196" s="2"/>
      <c r="D196" s="34"/>
      <c r="E196" s="2"/>
      <c r="F196" s="2"/>
      <c r="G196" s="35"/>
      <c r="H196" s="2"/>
      <c r="I196" s="2"/>
      <c r="J196" s="2"/>
      <c r="K196" s="2"/>
      <c r="L196" s="2"/>
      <c r="N196" s="10"/>
      <c r="O196" s="10"/>
      <c r="P196" s="10"/>
      <c r="Q196" s="10"/>
      <c r="R196" s="10"/>
      <c r="S196" s="10"/>
      <c r="T196" s="10"/>
      <c r="U196" s="10"/>
      <c r="V196" s="10"/>
    </row>
    <row r="197" spans="1:22" s="3" customFormat="1" x14ac:dyDescent="0.25">
      <c r="A197" s="146" t="s">
        <v>54</v>
      </c>
      <c r="B197" s="146"/>
      <c r="C197" s="146"/>
      <c r="D197" s="146"/>
      <c r="E197" s="146"/>
      <c r="F197" s="146"/>
      <c r="G197" s="146"/>
      <c r="H197" s="146"/>
      <c r="I197" s="146"/>
      <c r="J197" s="146"/>
      <c r="K197" s="146"/>
      <c r="L197" s="146"/>
      <c r="N197" s="10"/>
      <c r="O197" s="10"/>
      <c r="P197" s="10"/>
      <c r="Q197" s="10"/>
      <c r="R197" s="10"/>
      <c r="S197" s="10"/>
      <c r="T197" s="10"/>
      <c r="U197" s="10"/>
      <c r="V197" s="10"/>
    </row>
    <row r="198" spans="1:22" s="3" customFormat="1" x14ac:dyDescent="0.25">
      <c r="A198" s="145"/>
      <c r="B198" s="145"/>
      <c r="C198" s="145"/>
      <c r="D198" s="145"/>
      <c r="E198" s="145"/>
      <c r="F198" s="145"/>
      <c r="G198" s="145"/>
      <c r="H198" s="145"/>
      <c r="I198" s="145"/>
      <c r="J198" s="145"/>
      <c r="K198" s="145"/>
      <c r="L198" s="145"/>
      <c r="N198" s="10"/>
      <c r="O198" s="10"/>
      <c r="P198" s="10"/>
      <c r="Q198" s="10"/>
      <c r="R198" s="10"/>
      <c r="S198" s="10"/>
      <c r="T198" s="10"/>
      <c r="U198" s="10"/>
      <c r="V198" s="10"/>
    </row>
    <row r="199" spans="1:22" s="3" customFormat="1" x14ac:dyDescent="0.25">
      <c r="A199" s="144"/>
      <c r="B199" s="144"/>
      <c r="C199" s="144"/>
      <c r="D199" s="144"/>
      <c r="E199" s="144"/>
      <c r="F199" s="144"/>
      <c r="G199" s="144"/>
      <c r="H199" s="144"/>
      <c r="I199" s="144"/>
      <c r="J199" s="144"/>
      <c r="K199" s="144"/>
      <c r="L199" s="144"/>
      <c r="N199" s="10"/>
      <c r="O199" s="10"/>
      <c r="P199" s="10"/>
      <c r="Q199" s="10"/>
      <c r="R199" s="10"/>
      <c r="S199" s="10"/>
      <c r="T199" s="10"/>
      <c r="U199" s="10"/>
      <c r="V199" s="10"/>
    </row>
    <row r="200" spans="1:22" s="3" customFormat="1" x14ac:dyDescent="0.25">
      <c r="A200" s="144"/>
      <c r="B200" s="144"/>
      <c r="C200" s="144"/>
      <c r="D200" s="144"/>
      <c r="E200" s="144"/>
      <c r="F200" s="144"/>
      <c r="G200" s="144"/>
      <c r="H200" s="144"/>
      <c r="I200" s="144"/>
      <c r="J200" s="144"/>
      <c r="K200" s="144"/>
      <c r="L200" s="144"/>
      <c r="N200" s="10"/>
      <c r="O200" s="10"/>
      <c r="P200" s="10"/>
      <c r="Q200" s="10"/>
      <c r="R200" s="10"/>
      <c r="S200" s="10"/>
      <c r="T200" s="10"/>
      <c r="U200" s="10"/>
      <c r="V200" s="10"/>
    </row>
    <row r="201" spans="1:22" s="3" customFormat="1" x14ac:dyDescent="0.25">
      <c r="A201" s="144"/>
      <c r="B201" s="144"/>
      <c r="C201" s="144"/>
      <c r="D201" s="144"/>
      <c r="E201" s="144"/>
      <c r="F201" s="144"/>
      <c r="G201" s="144"/>
      <c r="H201" s="144"/>
      <c r="I201" s="144"/>
      <c r="J201" s="144"/>
      <c r="K201" s="144"/>
      <c r="L201" s="144"/>
      <c r="N201" s="10"/>
      <c r="O201" s="10"/>
      <c r="P201" s="10"/>
      <c r="Q201" s="10"/>
      <c r="R201" s="10"/>
      <c r="S201" s="10"/>
      <c r="T201" s="10"/>
      <c r="U201" s="10"/>
      <c r="V201" s="10"/>
    </row>
    <row r="202" spans="1:22" s="3" customFormat="1" x14ac:dyDescent="0.25">
      <c r="A202" s="144"/>
      <c r="B202" s="144"/>
      <c r="C202" s="144"/>
      <c r="D202" s="144"/>
      <c r="E202" s="144"/>
      <c r="F202" s="144"/>
      <c r="G202" s="144"/>
      <c r="H202" s="144"/>
      <c r="I202" s="144"/>
      <c r="J202" s="144"/>
      <c r="K202" s="144"/>
      <c r="L202" s="144"/>
      <c r="N202" s="10"/>
      <c r="O202" s="10"/>
      <c r="P202" s="10"/>
      <c r="Q202" s="10"/>
      <c r="R202" s="10"/>
      <c r="S202" s="10"/>
      <c r="T202" s="10"/>
      <c r="U202" s="10"/>
      <c r="V202" s="10"/>
    </row>
    <row r="203" spans="1:22" s="3" customFormat="1" x14ac:dyDescent="0.25">
      <c r="A203" s="144"/>
      <c r="B203" s="144"/>
      <c r="C203" s="144"/>
      <c r="D203" s="144"/>
      <c r="E203" s="144"/>
      <c r="F203" s="144"/>
      <c r="G203" s="144"/>
      <c r="H203" s="144"/>
      <c r="I203" s="144"/>
      <c r="J203" s="144"/>
      <c r="K203" s="144"/>
      <c r="L203" s="144"/>
      <c r="N203" s="10"/>
      <c r="O203" s="10"/>
      <c r="P203" s="10"/>
      <c r="Q203" s="10"/>
      <c r="R203" s="10"/>
      <c r="S203" s="10"/>
      <c r="T203" s="10"/>
      <c r="U203" s="10"/>
      <c r="V203" s="10"/>
    </row>
    <row r="204" spans="1:22" s="3" customFormat="1" x14ac:dyDescent="0.25">
      <c r="A204" s="34"/>
      <c r="B204" s="34"/>
      <c r="C204" s="2"/>
      <c r="D204" s="34"/>
      <c r="E204" s="2"/>
      <c r="F204" s="2"/>
      <c r="G204" s="35"/>
      <c r="H204" s="2"/>
      <c r="I204" s="2"/>
      <c r="J204" s="2"/>
      <c r="K204" s="2"/>
      <c r="L204" s="2"/>
      <c r="N204" s="10"/>
      <c r="O204" s="10"/>
      <c r="P204" s="10"/>
      <c r="Q204" s="10"/>
      <c r="R204" s="10"/>
      <c r="S204" s="10"/>
      <c r="T204" s="10"/>
      <c r="U204" s="10"/>
      <c r="V204" s="10"/>
    </row>
    <row r="205" spans="1:22" s="5" customFormat="1" ht="12.75" x14ac:dyDescent="0.2">
      <c r="A205" s="7"/>
      <c r="B205" s="7"/>
      <c r="C205" s="7"/>
      <c r="D205" s="7"/>
      <c r="E205" s="7"/>
      <c r="F205" s="7"/>
      <c r="G205" s="7"/>
      <c r="H205" s="7"/>
      <c r="I205" s="7"/>
      <c r="J205" s="7"/>
      <c r="K205" s="7"/>
      <c r="L205" s="7"/>
      <c r="N205" s="9"/>
      <c r="O205" s="9"/>
      <c r="P205" s="9"/>
      <c r="Q205" s="9"/>
      <c r="R205" s="9"/>
      <c r="S205" s="9"/>
      <c r="T205" s="9"/>
      <c r="U205" s="9"/>
      <c r="V205" s="9"/>
    </row>
    <row r="206" spans="1:22" s="5" customFormat="1" ht="12.75" x14ac:dyDescent="0.2">
      <c r="A206" s="7"/>
      <c r="B206" s="7"/>
      <c r="C206" s="7"/>
      <c r="D206" s="7"/>
      <c r="E206" s="7"/>
      <c r="F206" s="7"/>
      <c r="G206" s="7"/>
      <c r="H206" s="7"/>
      <c r="I206" s="7"/>
      <c r="J206" s="7"/>
      <c r="K206" s="7"/>
      <c r="L206" s="7"/>
      <c r="N206" s="9"/>
      <c r="O206" s="9"/>
      <c r="P206" s="9"/>
      <c r="Q206" s="9"/>
      <c r="R206" s="9"/>
      <c r="S206" s="9"/>
      <c r="T206" s="9"/>
      <c r="U206" s="9"/>
      <c r="V206" s="9"/>
    </row>
    <row r="207" spans="1:22" s="5" customFormat="1" ht="12.75" x14ac:dyDescent="0.2">
      <c r="A207" s="7"/>
      <c r="B207" s="7"/>
      <c r="C207" s="7"/>
      <c r="D207" s="7"/>
      <c r="E207" s="7"/>
      <c r="F207" s="7"/>
      <c r="G207" s="7"/>
      <c r="H207" s="7"/>
      <c r="I207" s="7"/>
      <c r="J207" s="7"/>
      <c r="K207" s="7"/>
      <c r="L207" s="7"/>
      <c r="N207" s="9"/>
      <c r="O207" s="9"/>
      <c r="P207" s="9"/>
      <c r="Q207" s="9"/>
      <c r="R207" s="9"/>
      <c r="S207" s="9"/>
      <c r="T207" s="9"/>
      <c r="U207" s="9"/>
      <c r="V207" s="9"/>
    </row>
    <row r="208" spans="1:22" s="5" customFormat="1" ht="12.75" x14ac:dyDescent="0.2">
      <c r="A208" s="7"/>
      <c r="B208" s="7"/>
      <c r="C208" s="7"/>
      <c r="D208" s="7"/>
      <c r="E208" s="7"/>
      <c r="F208" s="7"/>
      <c r="G208" s="7"/>
      <c r="H208" s="7"/>
      <c r="I208" s="7"/>
      <c r="J208" s="7"/>
      <c r="K208" s="7"/>
      <c r="L208" s="7"/>
      <c r="N208" s="9"/>
      <c r="O208" s="9"/>
      <c r="P208" s="9"/>
      <c r="Q208" s="9"/>
      <c r="R208" s="9"/>
      <c r="S208" s="9"/>
      <c r="T208" s="9"/>
      <c r="U208" s="9"/>
      <c r="V208" s="9"/>
    </row>
    <row r="209" spans="1:22" s="5" customFormat="1" ht="12.75" x14ac:dyDescent="0.2">
      <c r="A209" s="7"/>
      <c r="B209" s="7"/>
      <c r="C209" s="7"/>
      <c r="D209" s="7"/>
      <c r="E209" s="7"/>
      <c r="F209" s="7"/>
      <c r="G209" s="7"/>
      <c r="H209" s="7"/>
      <c r="I209" s="7"/>
      <c r="J209" s="7"/>
      <c r="K209" s="7"/>
      <c r="L209" s="7"/>
      <c r="N209" s="9"/>
      <c r="O209" s="9"/>
      <c r="P209" s="9"/>
      <c r="Q209" s="9"/>
      <c r="R209" s="9"/>
      <c r="S209" s="9"/>
      <c r="T209" s="9"/>
      <c r="U209" s="9"/>
      <c r="V209" s="9"/>
    </row>
    <row r="210" spans="1:22" s="5" customFormat="1" ht="12.75" x14ac:dyDescent="0.2">
      <c r="A210" s="7"/>
      <c r="B210" s="7"/>
      <c r="C210" s="7"/>
      <c r="D210" s="7"/>
      <c r="E210" s="7"/>
      <c r="F210" s="7"/>
      <c r="G210" s="7"/>
      <c r="H210" s="7"/>
      <c r="I210" s="7"/>
      <c r="J210" s="7"/>
      <c r="K210" s="7"/>
      <c r="L210" s="7"/>
      <c r="N210" s="9"/>
      <c r="O210" s="9"/>
      <c r="P210" s="9"/>
      <c r="Q210" s="9"/>
      <c r="R210" s="9"/>
      <c r="S210" s="9"/>
      <c r="T210" s="9"/>
      <c r="U210" s="9"/>
      <c r="V210" s="9"/>
    </row>
    <row r="211" spans="1:22" s="5" customFormat="1" ht="12.75" x14ac:dyDescent="0.2">
      <c r="A211" s="7"/>
      <c r="B211" s="7"/>
      <c r="C211" s="7"/>
      <c r="D211" s="7"/>
      <c r="E211" s="7"/>
      <c r="F211" s="7"/>
      <c r="G211" s="7"/>
      <c r="H211" s="7"/>
      <c r="I211" s="7"/>
      <c r="J211" s="7"/>
      <c r="K211" s="7"/>
      <c r="L211" s="7"/>
      <c r="N211" s="9"/>
      <c r="O211" s="9"/>
      <c r="P211" s="9"/>
      <c r="Q211" s="9"/>
      <c r="R211" s="9"/>
      <c r="S211" s="9"/>
      <c r="T211" s="9"/>
      <c r="U211" s="9"/>
      <c r="V211" s="9"/>
    </row>
    <row r="212" spans="1:22" s="5" customFormat="1" ht="12.75" x14ac:dyDescent="0.2">
      <c r="A212" s="9"/>
      <c r="B212" s="9"/>
      <c r="C212" s="9"/>
      <c r="D212" s="9"/>
      <c r="E212" s="9"/>
      <c r="F212" s="9"/>
      <c r="G212" s="9"/>
      <c r="H212" s="9"/>
      <c r="I212" s="9"/>
      <c r="J212" s="9"/>
      <c r="K212" s="9"/>
      <c r="L212" s="9"/>
      <c r="N212" s="9"/>
      <c r="O212" s="9"/>
      <c r="P212" s="9"/>
      <c r="Q212" s="9"/>
      <c r="R212" s="9"/>
      <c r="S212" s="9"/>
      <c r="T212" s="9"/>
      <c r="U212" s="9"/>
      <c r="V212" s="9"/>
    </row>
    <row r="213" spans="1:22" s="3" customFormat="1" ht="21" x14ac:dyDescent="0.35">
      <c r="A213" s="114" t="s">
        <v>55</v>
      </c>
      <c r="B213" s="114"/>
      <c r="C213" s="114"/>
      <c r="D213" s="114"/>
      <c r="E213" s="114"/>
      <c r="F213" s="114"/>
      <c r="G213" s="114"/>
      <c r="H213" s="114"/>
      <c r="I213" s="114"/>
      <c r="J213" s="114"/>
      <c r="K213" s="114"/>
      <c r="L213" s="114"/>
      <c r="N213" s="10"/>
      <c r="O213" s="10"/>
      <c r="P213" s="10"/>
      <c r="Q213" s="10"/>
      <c r="R213" s="10"/>
      <c r="S213" s="10"/>
      <c r="T213" s="10"/>
      <c r="U213" s="10"/>
      <c r="V213" s="10"/>
    </row>
    <row r="214" spans="1:22" s="13" customFormat="1" ht="14.1" customHeight="1" x14ac:dyDescent="0.2">
      <c r="A214" s="137" t="s">
        <v>162</v>
      </c>
      <c r="B214" s="137"/>
      <c r="C214" s="14" t="s">
        <v>30</v>
      </c>
      <c r="D214" s="137" t="s">
        <v>163</v>
      </c>
      <c r="E214" s="137"/>
      <c r="F214" s="137"/>
      <c r="G214" s="137"/>
      <c r="H214" s="137"/>
      <c r="I214" s="14" t="s">
        <v>31</v>
      </c>
      <c r="J214" s="14" t="s">
        <v>165</v>
      </c>
      <c r="K214" s="14" t="s">
        <v>17</v>
      </c>
      <c r="L214" s="15" t="s">
        <v>164</v>
      </c>
      <c r="M214" s="9"/>
      <c r="N214" s="21"/>
      <c r="O214" s="21"/>
      <c r="P214" s="21"/>
      <c r="Q214" s="21"/>
      <c r="R214" s="21"/>
      <c r="S214" s="21"/>
      <c r="T214" s="21"/>
      <c r="U214" s="21"/>
      <c r="V214" s="21"/>
    </row>
    <row r="215" spans="1:22" s="13" customFormat="1" ht="12.75" x14ac:dyDescent="0.2">
      <c r="A215" s="135" t="s">
        <v>25</v>
      </c>
      <c r="B215" s="136"/>
      <c r="C215" s="18"/>
      <c r="D215" s="122" t="s">
        <v>82</v>
      </c>
      <c r="E215" s="123"/>
      <c r="F215" s="123"/>
      <c r="G215" s="123"/>
      <c r="H215" s="124"/>
      <c r="I215" s="18"/>
      <c r="J215" s="8" t="s">
        <v>169</v>
      </c>
      <c r="K215" s="20">
        <v>6000</v>
      </c>
      <c r="L215" s="54">
        <f>SUM(I215*K215)</f>
        <v>0</v>
      </c>
      <c r="N215" s="21"/>
      <c r="O215" s="21"/>
      <c r="P215" s="21"/>
      <c r="Q215" s="21"/>
      <c r="R215" s="21"/>
      <c r="S215" s="21"/>
      <c r="T215" s="21"/>
      <c r="U215" s="21"/>
      <c r="V215" s="21"/>
    </row>
    <row r="216" spans="1:22" s="13" customFormat="1" ht="12.75" x14ac:dyDescent="0.2">
      <c r="A216" s="142"/>
      <c r="B216" s="143"/>
      <c r="C216" s="18"/>
      <c r="D216" s="122" t="s">
        <v>83</v>
      </c>
      <c r="E216" s="123"/>
      <c r="F216" s="123"/>
      <c r="G216" s="123"/>
      <c r="H216" s="124"/>
      <c r="I216" s="18"/>
      <c r="J216" s="8" t="s">
        <v>169</v>
      </c>
      <c r="K216" s="20">
        <v>4000</v>
      </c>
      <c r="L216" s="54">
        <f t="shared" ref="L216:L230" si="4">SUM(I216*K216)</f>
        <v>0</v>
      </c>
      <c r="N216" s="21"/>
      <c r="O216" s="21"/>
      <c r="P216" s="21"/>
      <c r="Q216" s="21"/>
      <c r="R216" s="21"/>
      <c r="S216" s="21"/>
      <c r="T216" s="21"/>
      <c r="U216" s="21"/>
      <c r="V216" s="21"/>
    </row>
    <row r="217" spans="1:22" s="13" customFormat="1" ht="12.75" x14ac:dyDescent="0.2">
      <c r="A217" s="131"/>
      <c r="B217" s="132"/>
      <c r="C217" s="18"/>
      <c r="D217" s="122" t="s">
        <v>84</v>
      </c>
      <c r="E217" s="123"/>
      <c r="F217" s="123"/>
      <c r="G217" s="123"/>
      <c r="H217" s="124"/>
      <c r="I217" s="18"/>
      <c r="J217" s="8" t="s">
        <v>169</v>
      </c>
      <c r="K217" s="20">
        <v>1700</v>
      </c>
      <c r="L217" s="54">
        <f t="shared" si="4"/>
        <v>0</v>
      </c>
      <c r="N217" s="21"/>
      <c r="O217" s="21"/>
      <c r="P217" s="21"/>
      <c r="Q217" s="21"/>
      <c r="R217" s="21"/>
      <c r="S217" s="21"/>
      <c r="T217" s="21"/>
      <c r="U217" s="21"/>
      <c r="V217" s="21"/>
    </row>
    <row r="218" spans="1:22" s="13" customFormat="1" ht="12.75" x14ac:dyDescent="0.2">
      <c r="A218" s="131"/>
      <c r="B218" s="132"/>
      <c r="C218" s="18"/>
      <c r="D218" s="122" t="s">
        <v>85</v>
      </c>
      <c r="E218" s="123"/>
      <c r="F218" s="123"/>
      <c r="G218" s="123"/>
      <c r="H218" s="124"/>
      <c r="I218" s="18"/>
      <c r="J218" s="8" t="s">
        <v>169</v>
      </c>
      <c r="K218" s="20">
        <v>2000</v>
      </c>
      <c r="L218" s="54">
        <f t="shared" si="4"/>
        <v>0</v>
      </c>
      <c r="N218" s="21"/>
      <c r="O218" s="21"/>
      <c r="P218" s="21"/>
      <c r="Q218" s="21"/>
      <c r="R218" s="21"/>
      <c r="S218" s="21"/>
      <c r="T218" s="21"/>
      <c r="U218" s="21"/>
      <c r="V218" s="21"/>
    </row>
    <row r="219" spans="1:22" s="13" customFormat="1" ht="12.75" x14ac:dyDescent="0.2">
      <c r="A219" s="131"/>
      <c r="B219" s="132"/>
      <c r="C219" s="18"/>
      <c r="D219" s="122" t="s">
        <v>86</v>
      </c>
      <c r="E219" s="123"/>
      <c r="F219" s="123"/>
      <c r="G219" s="123"/>
      <c r="H219" s="124"/>
      <c r="I219" s="18"/>
      <c r="J219" s="8" t="s">
        <v>169</v>
      </c>
      <c r="K219" s="20">
        <v>2300</v>
      </c>
      <c r="L219" s="54">
        <f t="shared" si="4"/>
        <v>0</v>
      </c>
      <c r="N219" s="21"/>
      <c r="O219" s="21"/>
      <c r="P219" s="21"/>
      <c r="Q219" s="21"/>
      <c r="R219" s="21"/>
      <c r="S219" s="21"/>
      <c r="T219" s="21"/>
      <c r="U219" s="21"/>
      <c r="V219" s="21"/>
    </row>
    <row r="220" spans="1:22" s="13" customFormat="1" ht="12.75" x14ac:dyDescent="0.2">
      <c r="A220" s="131"/>
      <c r="B220" s="132"/>
      <c r="C220" s="18"/>
      <c r="D220" s="122" t="s">
        <v>87</v>
      </c>
      <c r="E220" s="123"/>
      <c r="F220" s="123"/>
      <c r="G220" s="123"/>
      <c r="H220" s="124"/>
      <c r="I220" s="18"/>
      <c r="J220" s="8" t="s">
        <v>169</v>
      </c>
      <c r="K220" s="20">
        <v>6500</v>
      </c>
      <c r="L220" s="54">
        <f t="shared" si="4"/>
        <v>0</v>
      </c>
      <c r="N220" s="21"/>
      <c r="O220" s="21"/>
      <c r="P220" s="21"/>
      <c r="Q220" s="21"/>
      <c r="R220" s="21"/>
      <c r="S220" s="21"/>
      <c r="T220" s="21"/>
      <c r="U220" s="21"/>
      <c r="V220" s="21"/>
    </row>
    <row r="221" spans="1:22" s="13" customFormat="1" ht="12.75" x14ac:dyDescent="0.2">
      <c r="A221" s="131"/>
      <c r="B221" s="132"/>
      <c r="C221" s="18"/>
      <c r="D221" s="122" t="s">
        <v>88</v>
      </c>
      <c r="E221" s="123"/>
      <c r="F221" s="123"/>
      <c r="G221" s="123"/>
      <c r="H221" s="124"/>
      <c r="I221" s="18"/>
      <c r="J221" s="8" t="s">
        <v>169</v>
      </c>
      <c r="K221" s="20">
        <v>3000</v>
      </c>
      <c r="L221" s="54">
        <f t="shared" si="4"/>
        <v>0</v>
      </c>
      <c r="N221" s="21"/>
      <c r="O221" s="21"/>
      <c r="P221" s="21"/>
      <c r="Q221" s="21"/>
      <c r="R221" s="21"/>
      <c r="S221" s="21"/>
      <c r="T221" s="21"/>
      <c r="U221" s="21"/>
      <c r="V221" s="21"/>
    </row>
    <row r="222" spans="1:22" s="13" customFormat="1" ht="12.75" x14ac:dyDescent="0.2">
      <c r="A222" s="131"/>
      <c r="B222" s="132"/>
      <c r="C222" s="18"/>
      <c r="D222" s="122" t="s">
        <v>89</v>
      </c>
      <c r="E222" s="123"/>
      <c r="F222" s="123"/>
      <c r="G222" s="123"/>
      <c r="H222" s="124"/>
      <c r="I222" s="18"/>
      <c r="J222" s="8" t="s">
        <v>169</v>
      </c>
      <c r="K222" s="20">
        <v>600</v>
      </c>
      <c r="L222" s="54">
        <f t="shared" si="4"/>
        <v>0</v>
      </c>
      <c r="N222" s="21"/>
      <c r="O222" s="21"/>
      <c r="P222" s="21"/>
      <c r="Q222" s="21"/>
      <c r="R222" s="21"/>
      <c r="S222" s="21"/>
      <c r="T222" s="21"/>
      <c r="U222" s="21"/>
      <c r="V222" s="21"/>
    </row>
    <row r="223" spans="1:22" s="13" customFormat="1" ht="12.75" x14ac:dyDescent="0.2">
      <c r="A223" s="133"/>
      <c r="B223" s="134"/>
      <c r="C223" s="18"/>
      <c r="D223" s="122" t="s">
        <v>90</v>
      </c>
      <c r="E223" s="123"/>
      <c r="F223" s="123"/>
      <c r="G223" s="123"/>
      <c r="H223" s="124"/>
      <c r="I223" s="18"/>
      <c r="J223" s="8" t="s">
        <v>169</v>
      </c>
      <c r="K223" s="20">
        <v>500</v>
      </c>
      <c r="L223" s="54">
        <f t="shared" si="4"/>
        <v>0</v>
      </c>
      <c r="N223" s="21"/>
      <c r="O223" s="21"/>
      <c r="P223" s="21"/>
      <c r="Q223" s="21"/>
      <c r="R223" s="21"/>
      <c r="S223" s="21"/>
      <c r="T223" s="21"/>
      <c r="U223" s="21"/>
      <c r="V223" s="21"/>
    </row>
    <row r="224" spans="1:22" s="13" customFormat="1" ht="12.75" x14ac:dyDescent="0.2">
      <c r="A224" s="135" t="s">
        <v>26</v>
      </c>
      <c r="B224" s="136"/>
      <c r="C224" s="18"/>
      <c r="D224" s="122" t="s">
        <v>20</v>
      </c>
      <c r="E224" s="123"/>
      <c r="F224" s="123"/>
      <c r="G224" s="123"/>
      <c r="H224" s="124"/>
      <c r="I224" s="18"/>
      <c r="J224" s="8" t="s">
        <v>169</v>
      </c>
      <c r="K224" s="20">
        <v>7000</v>
      </c>
      <c r="L224" s="54">
        <f t="shared" si="4"/>
        <v>0</v>
      </c>
      <c r="N224" s="21"/>
      <c r="O224" s="21"/>
      <c r="P224" s="21"/>
      <c r="Q224" s="21"/>
      <c r="R224" s="21"/>
      <c r="S224" s="21"/>
      <c r="T224" s="21"/>
      <c r="U224" s="21"/>
      <c r="V224" s="21"/>
    </row>
    <row r="225" spans="1:22" s="13" customFormat="1" ht="12.75" x14ac:dyDescent="0.2">
      <c r="A225" s="131"/>
      <c r="B225" s="132"/>
      <c r="C225" s="18"/>
      <c r="D225" s="122" t="s">
        <v>91</v>
      </c>
      <c r="E225" s="123"/>
      <c r="F225" s="123"/>
      <c r="G225" s="123"/>
      <c r="H225" s="124"/>
      <c r="I225" s="18"/>
      <c r="J225" s="8" t="s">
        <v>169</v>
      </c>
      <c r="K225" s="20">
        <v>1500</v>
      </c>
      <c r="L225" s="54">
        <f t="shared" si="4"/>
        <v>0</v>
      </c>
      <c r="N225" s="21"/>
      <c r="O225" s="21"/>
      <c r="P225" s="21"/>
      <c r="Q225" s="21"/>
      <c r="R225" s="21"/>
      <c r="S225" s="21"/>
      <c r="T225" s="21"/>
      <c r="U225" s="21"/>
      <c r="V225" s="21"/>
    </row>
    <row r="226" spans="1:22" s="13" customFormat="1" ht="12.75" x14ac:dyDescent="0.2">
      <c r="A226" s="133"/>
      <c r="B226" s="134"/>
      <c r="C226" s="18"/>
      <c r="D226" s="122" t="s">
        <v>92</v>
      </c>
      <c r="E226" s="123"/>
      <c r="F226" s="123"/>
      <c r="G226" s="123"/>
      <c r="H226" s="124"/>
      <c r="I226" s="18"/>
      <c r="J226" s="8" t="s">
        <v>169</v>
      </c>
      <c r="K226" s="20">
        <v>600</v>
      </c>
      <c r="L226" s="54">
        <f t="shared" si="4"/>
        <v>0</v>
      </c>
      <c r="N226" s="21"/>
      <c r="O226" s="21"/>
      <c r="P226" s="21"/>
      <c r="Q226" s="21"/>
      <c r="R226" s="21"/>
      <c r="S226" s="21"/>
      <c r="T226" s="21"/>
      <c r="U226" s="21"/>
      <c r="V226" s="21"/>
    </row>
    <row r="227" spans="1:22" s="13" customFormat="1" ht="12.75" x14ac:dyDescent="0.2">
      <c r="A227" s="135" t="s">
        <v>27</v>
      </c>
      <c r="B227" s="136"/>
      <c r="C227" s="18"/>
      <c r="D227" s="122" t="s">
        <v>8</v>
      </c>
      <c r="E227" s="123"/>
      <c r="F227" s="123"/>
      <c r="G227" s="123"/>
      <c r="H227" s="124"/>
      <c r="I227" s="18"/>
      <c r="J227" s="8" t="s">
        <v>169</v>
      </c>
      <c r="K227" s="20">
        <v>7000</v>
      </c>
      <c r="L227" s="54">
        <f t="shared" si="4"/>
        <v>0</v>
      </c>
      <c r="N227" s="21"/>
      <c r="O227" s="21"/>
      <c r="P227" s="21"/>
      <c r="Q227" s="21"/>
      <c r="R227" s="21"/>
      <c r="S227" s="21"/>
      <c r="T227" s="21"/>
      <c r="U227" s="21"/>
      <c r="V227" s="21"/>
    </row>
    <row r="228" spans="1:22" s="13" customFormat="1" ht="12.75" x14ac:dyDescent="0.2">
      <c r="A228" s="131"/>
      <c r="B228" s="132"/>
      <c r="C228" s="18"/>
      <c r="D228" s="122" t="s">
        <v>21</v>
      </c>
      <c r="E228" s="123"/>
      <c r="F228" s="123"/>
      <c r="G228" s="123"/>
      <c r="H228" s="124"/>
      <c r="I228" s="18"/>
      <c r="J228" s="8" t="s">
        <v>169</v>
      </c>
      <c r="K228" s="20">
        <v>3000</v>
      </c>
      <c r="L228" s="54">
        <f t="shared" si="4"/>
        <v>0</v>
      </c>
      <c r="N228" s="21"/>
      <c r="O228" s="21"/>
      <c r="P228" s="21"/>
      <c r="Q228" s="21"/>
      <c r="R228" s="21"/>
      <c r="S228" s="21"/>
      <c r="T228" s="21"/>
      <c r="U228" s="21"/>
      <c r="V228" s="21"/>
    </row>
    <row r="229" spans="1:22" s="13" customFormat="1" ht="12.75" x14ac:dyDescent="0.2">
      <c r="A229" s="131"/>
      <c r="B229" s="132"/>
      <c r="C229" s="18"/>
      <c r="D229" s="122" t="s">
        <v>93</v>
      </c>
      <c r="E229" s="123"/>
      <c r="F229" s="123"/>
      <c r="G229" s="123"/>
      <c r="H229" s="124"/>
      <c r="I229" s="18"/>
      <c r="J229" s="8" t="s">
        <v>169</v>
      </c>
      <c r="K229" s="20">
        <v>2000</v>
      </c>
      <c r="L229" s="54">
        <f t="shared" si="4"/>
        <v>0</v>
      </c>
      <c r="N229" s="21"/>
      <c r="O229" s="21"/>
      <c r="P229" s="21"/>
      <c r="Q229" s="21"/>
      <c r="R229" s="21"/>
      <c r="S229" s="21"/>
      <c r="T229" s="21"/>
      <c r="U229" s="21"/>
      <c r="V229" s="21"/>
    </row>
    <row r="230" spans="1:22" s="13" customFormat="1" ht="12.75" x14ac:dyDescent="0.2">
      <c r="A230" s="133"/>
      <c r="B230" s="134"/>
      <c r="C230" s="18"/>
      <c r="D230" s="122" t="s">
        <v>94</v>
      </c>
      <c r="E230" s="123"/>
      <c r="F230" s="123"/>
      <c r="G230" s="123"/>
      <c r="H230" s="124"/>
      <c r="I230" s="18"/>
      <c r="J230" s="8" t="s">
        <v>169</v>
      </c>
      <c r="K230" s="20">
        <v>2000</v>
      </c>
      <c r="L230" s="54">
        <f t="shared" si="4"/>
        <v>0</v>
      </c>
      <c r="N230" s="21"/>
      <c r="O230" s="21"/>
      <c r="P230" s="21"/>
      <c r="Q230" s="21"/>
      <c r="R230" s="21"/>
      <c r="S230" s="21"/>
      <c r="T230" s="21"/>
      <c r="U230" s="21"/>
      <c r="V230" s="21"/>
    </row>
    <row r="231" spans="1:22" s="3" customFormat="1" x14ac:dyDescent="0.25">
      <c r="A231" s="34"/>
      <c r="B231" s="34"/>
      <c r="C231" s="2"/>
      <c r="D231" s="34"/>
      <c r="E231" s="2"/>
      <c r="F231" s="2"/>
      <c r="G231" s="35"/>
      <c r="H231" s="2"/>
      <c r="I231" s="2"/>
      <c r="J231" s="2"/>
      <c r="K231" s="2"/>
      <c r="L231" s="2"/>
      <c r="N231" s="10"/>
      <c r="O231" s="10"/>
      <c r="P231" s="10"/>
      <c r="Q231" s="10"/>
      <c r="R231" s="10"/>
      <c r="S231" s="10"/>
      <c r="T231" s="10"/>
      <c r="U231" s="10"/>
      <c r="V231" s="10"/>
    </row>
    <row r="232" spans="1:22" s="3" customFormat="1" ht="21" x14ac:dyDescent="0.35">
      <c r="A232" s="114" t="s">
        <v>24</v>
      </c>
      <c r="B232" s="114"/>
      <c r="C232" s="114"/>
      <c r="D232" s="114"/>
      <c r="E232" s="114"/>
      <c r="F232" s="114"/>
      <c r="G232" s="114"/>
      <c r="H232" s="114"/>
      <c r="I232" s="114"/>
      <c r="J232" s="114"/>
      <c r="K232" s="114"/>
      <c r="L232" s="114"/>
      <c r="N232" s="10"/>
      <c r="O232" s="10"/>
      <c r="P232" s="10"/>
      <c r="Q232" s="10"/>
      <c r="R232" s="10"/>
      <c r="S232" s="10"/>
      <c r="T232" s="10"/>
      <c r="U232" s="10"/>
      <c r="V232" s="10"/>
    </row>
    <row r="233" spans="1:22" s="13" customFormat="1" ht="14.1" customHeight="1" x14ac:dyDescent="0.2">
      <c r="A233" s="137" t="s">
        <v>162</v>
      </c>
      <c r="B233" s="137"/>
      <c r="C233" s="14" t="s">
        <v>30</v>
      </c>
      <c r="D233" s="137" t="s">
        <v>163</v>
      </c>
      <c r="E233" s="137"/>
      <c r="F233" s="137"/>
      <c r="G233" s="137"/>
      <c r="H233" s="137"/>
      <c r="I233" s="14" t="s">
        <v>31</v>
      </c>
      <c r="J233" s="14" t="s">
        <v>165</v>
      </c>
      <c r="K233" s="14" t="s">
        <v>17</v>
      </c>
      <c r="L233" s="15" t="s">
        <v>164</v>
      </c>
      <c r="M233" s="9"/>
      <c r="N233" s="21"/>
      <c r="O233" s="21"/>
      <c r="P233" s="21"/>
      <c r="Q233" s="21"/>
      <c r="R233" s="21"/>
      <c r="S233" s="21"/>
      <c r="T233" s="21"/>
      <c r="U233" s="21"/>
      <c r="V233" s="21"/>
    </row>
    <row r="234" spans="1:22" s="13" customFormat="1" ht="12.75" x14ac:dyDescent="0.2">
      <c r="A234" s="135" t="s">
        <v>50</v>
      </c>
      <c r="B234" s="136"/>
      <c r="C234" s="18"/>
      <c r="D234" s="122" t="s">
        <v>95</v>
      </c>
      <c r="E234" s="123"/>
      <c r="F234" s="123"/>
      <c r="G234" s="123"/>
      <c r="H234" s="124"/>
      <c r="I234" s="18"/>
      <c r="J234" s="8" t="s">
        <v>169</v>
      </c>
      <c r="K234" s="20">
        <v>500</v>
      </c>
      <c r="L234" s="54">
        <f>SUM(I234*K234)</f>
        <v>0</v>
      </c>
      <c r="N234" s="21"/>
      <c r="O234" s="21"/>
      <c r="P234" s="21"/>
      <c r="Q234" s="21"/>
      <c r="R234" s="21"/>
      <c r="S234" s="21"/>
      <c r="T234" s="21"/>
      <c r="U234" s="21"/>
      <c r="V234" s="21"/>
    </row>
    <row r="235" spans="1:22" s="13" customFormat="1" ht="12.75" x14ac:dyDescent="0.2">
      <c r="A235" s="133"/>
      <c r="B235" s="134"/>
      <c r="C235" s="18"/>
      <c r="D235" s="122" t="s">
        <v>96</v>
      </c>
      <c r="E235" s="123"/>
      <c r="F235" s="123"/>
      <c r="G235" s="123"/>
      <c r="H235" s="124"/>
      <c r="I235" s="18"/>
      <c r="J235" s="8" t="s">
        <v>169</v>
      </c>
      <c r="K235" s="20">
        <v>500</v>
      </c>
      <c r="L235" s="54">
        <f t="shared" ref="L235:L245" si="5">SUM(I235*K235)</f>
        <v>0</v>
      </c>
      <c r="N235" s="21"/>
      <c r="O235" s="21"/>
      <c r="P235" s="21"/>
      <c r="Q235" s="21"/>
      <c r="R235" s="21"/>
      <c r="S235" s="21"/>
      <c r="T235" s="21"/>
      <c r="U235" s="21"/>
      <c r="V235" s="21"/>
    </row>
    <row r="236" spans="1:22" s="13" customFormat="1" ht="12.75" x14ac:dyDescent="0.2">
      <c r="A236" s="135" t="s">
        <v>222</v>
      </c>
      <c r="B236" s="136"/>
      <c r="C236" s="18"/>
      <c r="D236" s="122" t="s">
        <v>97</v>
      </c>
      <c r="E236" s="123"/>
      <c r="F236" s="123"/>
      <c r="G236" s="123"/>
      <c r="H236" s="124"/>
      <c r="I236" s="18"/>
      <c r="J236" s="8" t="s">
        <v>185</v>
      </c>
      <c r="K236" s="20">
        <v>1000</v>
      </c>
      <c r="L236" s="54">
        <f t="shared" si="5"/>
        <v>0</v>
      </c>
      <c r="N236" s="21"/>
      <c r="O236" s="21"/>
      <c r="P236" s="21"/>
      <c r="Q236" s="21"/>
      <c r="R236" s="21"/>
      <c r="S236" s="21"/>
      <c r="T236" s="21"/>
      <c r="U236" s="21"/>
      <c r="V236" s="21"/>
    </row>
    <row r="237" spans="1:22" s="13" customFormat="1" ht="12.75" x14ac:dyDescent="0.2">
      <c r="A237" s="138" t="s">
        <v>248</v>
      </c>
      <c r="B237" s="139"/>
      <c r="C237" s="18"/>
      <c r="D237" s="122" t="s">
        <v>98</v>
      </c>
      <c r="E237" s="123"/>
      <c r="F237" s="123"/>
      <c r="G237" s="123"/>
      <c r="H237" s="124"/>
      <c r="I237" s="18"/>
      <c r="J237" s="8" t="s">
        <v>185</v>
      </c>
      <c r="K237" s="20">
        <v>2000</v>
      </c>
      <c r="L237" s="54">
        <f t="shared" si="5"/>
        <v>0</v>
      </c>
      <c r="N237" s="21"/>
      <c r="O237" s="21"/>
      <c r="P237" s="21"/>
      <c r="Q237" s="21"/>
      <c r="R237" s="21"/>
      <c r="S237" s="21"/>
      <c r="T237" s="21"/>
      <c r="U237" s="21"/>
      <c r="V237" s="21"/>
    </row>
    <row r="238" spans="1:22" s="13" customFormat="1" ht="12.75" x14ac:dyDescent="0.2">
      <c r="A238" s="140"/>
      <c r="B238" s="141"/>
      <c r="C238" s="18"/>
      <c r="D238" s="122" t="s">
        <v>99</v>
      </c>
      <c r="E238" s="123"/>
      <c r="F238" s="123"/>
      <c r="G238" s="123"/>
      <c r="H238" s="124"/>
      <c r="I238" s="18"/>
      <c r="J238" s="8" t="s">
        <v>185</v>
      </c>
      <c r="K238" s="20">
        <v>1500</v>
      </c>
      <c r="L238" s="54">
        <f t="shared" si="5"/>
        <v>0</v>
      </c>
      <c r="N238" s="21"/>
      <c r="O238" s="21"/>
      <c r="P238" s="21"/>
      <c r="Q238" s="21"/>
      <c r="R238" s="21"/>
      <c r="S238" s="21"/>
      <c r="T238" s="21"/>
      <c r="U238" s="21"/>
      <c r="V238" s="21"/>
    </row>
    <row r="239" spans="1:22" s="13" customFormat="1" ht="12.75" x14ac:dyDescent="0.2">
      <c r="A239" s="135" t="s">
        <v>221</v>
      </c>
      <c r="B239" s="136"/>
      <c r="C239" s="18"/>
      <c r="D239" s="122" t="s">
        <v>100</v>
      </c>
      <c r="E239" s="123"/>
      <c r="F239" s="123"/>
      <c r="G239" s="123"/>
      <c r="H239" s="124"/>
      <c r="I239" s="18"/>
      <c r="J239" s="8" t="s">
        <v>169</v>
      </c>
      <c r="K239" s="20">
        <v>1500</v>
      </c>
      <c r="L239" s="54">
        <f t="shared" si="5"/>
        <v>0</v>
      </c>
      <c r="N239" s="21"/>
      <c r="O239" s="21"/>
      <c r="P239" s="21"/>
      <c r="Q239" s="21"/>
      <c r="R239" s="21"/>
      <c r="S239" s="21"/>
      <c r="T239" s="21"/>
      <c r="U239" s="21"/>
      <c r="V239" s="21"/>
    </row>
    <row r="240" spans="1:22" s="13" customFormat="1" ht="12.75" x14ac:dyDescent="0.2">
      <c r="A240" s="112" t="s">
        <v>248</v>
      </c>
      <c r="B240" s="113"/>
      <c r="C240" s="18"/>
      <c r="D240" s="122" t="s">
        <v>11</v>
      </c>
      <c r="E240" s="123"/>
      <c r="F240" s="123"/>
      <c r="G240" s="123"/>
      <c r="H240" s="124"/>
      <c r="I240" s="18"/>
      <c r="J240" s="8" t="s">
        <v>169</v>
      </c>
      <c r="K240" s="20">
        <v>5000</v>
      </c>
      <c r="L240" s="54">
        <f t="shared" si="5"/>
        <v>0</v>
      </c>
      <c r="N240" s="21"/>
      <c r="O240" s="21"/>
      <c r="P240" s="21"/>
      <c r="Q240" s="21"/>
      <c r="R240" s="21"/>
      <c r="S240" s="21"/>
      <c r="T240" s="21"/>
      <c r="U240" s="21"/>
      <c r="V240" s="21"/>
    </row>
    <row r="241" spans="1:22" s="13" customFormat="1" ht="12.75" x14ac:dyDescent="0.2">
      <c r="A241" s="112"/>
      <c r="B241" s="113"/>
      <c r="C241" s="18"/>
      <c r="D241" s="122" t="s">
        <v>12</v>
      </c>
      <c r="E241" s="123"/>
      <c r="F241" s="123"/>
      <c r="G241" s="123"/>
      <c r="H241" s="124"/>
      <c r="I241" s="18"/>
      <c r="J241" s="8" t="s">
        <v>169</v>
      </c>
      <c r="K241" s="20">
        <v>600</v>
      </c>
      <c r="L241" s="54">
        <f t="shared" si="5"/>
        <v>0</v>
      </c>
      <c r="N241" s="21"/>
      <c r="O241" s="21"/>
      <c r="P241" s="21"/>
      <c r="Q241" s="21"/>
      <c r="R241" s="21"/>
      <c r="S241" s="21"/>
      <c r="T241" s="21"/>
      <c r="U241" s="21"/>
      <c r="V241" s="21"/>
    </row>
    <row r="242" spans="1:22" s="13" customFormat="1" ht="12.75" x14ac:dyDescent="0.2">
      <c r="A242" s="112"/>
      <c r="B242" s="113"/>
      <c r="C242" s="18"/>
      <c r="D242" s="122" t="s">
        <v>13</v>
      </c>
      <c r="E242" s="123"/>
      <c r="F242" s="123"/>
      <c r="G242" s="123"/>
      <c r="H242" s="124"/>
      <c r="I242" s="18"/>
      <c r="J242" s="8" t="s">
        <v>169</v>
      </c>
      <c r="K242" s="20">
        <v>750</v>
      </c>
      <c r="L242" s="54">
        <f t="shared" si="5"/>
        <v>0</v>
      </c>
      <c r="N242" s="21"/>
      <c r="O242" s="21"/>
      <c r="P242" s="21"/>
      <c r="Q242" s="21"/>
      <c r="R242" s="21"/>
      <c r="S242" s="21"/>
      <c r="T242" s="21"/>
      <c r="U242" s="21"/>
      <c r="V242" s="21"/>
    </row>
    <row r="243" spans="1:22" s="13" customFormat="1" ht="12.75" x14ac:dyDescent="0.2">
      <c r="A243" s="131"/>
      <c r="B243" s="132"/>
      <c r="C243" s="18"/>
      <c r="D243" s="122" t="s">
        <v>14</v>
      </c>
      <c r="E243" s="123"/>
      <c r="F243" s="123"/>
      <c r="G243" s="123"/>
      <c r="H243" s="124"/>
      <c r="I243" s="18"/>
      <c r="J243" s="8" t="s">
        <v>169</v>
      </c>
      <c r="K243" s="20">
        <v>1500</v>
      </c>
      <c r="L243" s="54">
        <f t="shared" si="5"/>
        <v>0</v>
      </c>
      <c r="N243" s="21"/>
      <c r="O243" s="21"/>
      <c r="P243" s="21"/>
      <c r="Q243" s="21"/>
      <c r="R243" s="21"/>
      <c r="S243" s="21"/>
      <c r="T243" s="21"/>
      <c r="U243" s="21"/>
      <c r="V243" s="21"/>
    </row>
    <row r="244" spans="1:22" s="13" customFormat="1" ht="12.75" x14ac:dyDescent="0.2">
      <c r="A244" s="131"/>
      <c r="B244" s="132"/>
      <c r="C244" s="18"/>
      <c r="D244" s="122" t="s">
        <v>259</v>
      </c>
      <c r="E244" s="123"/>
      <c r="F244" s="123"/>
      <c r="G244" s="123"/>
      <c r="H244" s="124"/>
      <c r="I244" s="18"/>
      <c r="J244" s="8" t="s">
        <v>169</v>
      </c>
      <c r="K244" s="20">
        <v>5000</v>
      </c>
      <c r="L244" s="54">
        <f t="shared" si="5"/>
        <v>0</v>
      </c>
      <c r="N244" s="21"/>
      <c r="O244" s="21"/>
      <c r="P244" s="21"/>
      <c r="Q244" s="21"/>
      <c r="R244" s="21"/>
      <c r="S244" s="21"/>
      <c r="T244" s="21"/>
      <c r="U244" s="21"/>
      <c r="V244" s="21"/>
    </row>
    <row r="245" spans="1:22" s="13" customFormat="1" ht="12.75" x14ac:dyDescent="0.2">
      <c r="A245" s="133"/>
      <c r="B245" s="134"/>
      <c r="C245" s="18"/>
      <c r="D245" s="122" t="s">
        <v>15</v>
      </c>
      <c r="E245" s="123"/>
      <c r="F245" s="123"/>
      <c r="G245" s="123"/>
      <c r="H245" s="124"/>
      <c r="I245" s="18"/>
      <c r="J245" s="8" t="s">
        <v>169</v>
      </c>
      <c r="K245" s="20">
        <v>600</v>
      </c>
      <c r="L245" s="54">
        <f t="shared" si="5"/>
        <v>0</v>
      </c>
      <c r="N245" s="21"/>
      <c r="O245" s="21"/>
      <c r="P245" s="21"/>
      <c r="Q245" s="21"/>
      <c r="R245" s="21"/>
      <c r="S245" s="21"/>
      <c r="T245" s="21"/>
      <c r="U245" s="21"/>
      <c r="V245" s="21"/>
    </row>
    <row r="246" spans="1:22" s="13" customFormat="1" ht="12.75" x14ac:dyDescent="0.2">
      <c r="A246" s="135" t="s">
        <v>251</v>
      </c>
      <c r="B246" s="136"/>
      <c r="C246" s="18"/>
      <c r="D246" s="122"/>
      <c r="E246" s="123"/>
      <c r="F246" s="123"/>
      <c r="G246" s="123"/>
      <c r="H246" s="124"/>
      <c r="I246" s="18"/>
      <c r="J246" s="8"/>
      <c r="K246" s="20"/>
      <c r="L246" s="54">
        <f t="shared" ref="L246:L248" si="6">SUM(I246*K246)</f>
        <v>0</v>
      </c>
      <c r="N246" s="21"/>
      <c r="O246" s="21"/>
      <c r="P246" s="21"/>
      <c r="Q246" s="21"/>
      <c r="R246" s="21"/>
      <c r="S246" s="21"/>
      <c r="T246" s="21"/>
      <c r="U246" s="21"/>
      <c r="V246" s="21"/>
    </row>
    <row r="247" spans="1:22" s="13" customFormat="1" ht="12.75" x14ac:dyDescent="0.2">
      <c r="A247" s="112" t="s">
        <v>250</v>
      </c>
      <c r="B247" s="113"/>
      <c r="C247" s="18"/>
      <c r="D247" s="122"/>
      <c r="E247" s="123"/>
      <c r="F247" s="123"/>
      <c r="G247" s="123"/>
      <c r="H247" s="124"/>
      <c r="I247" s="18"/>
      <c r="J247" s="8"/>
      <c r="K247" s="20"/>
      <c r="L247" s="54">
        <f t="shared" si="6"/>
        <v>0</v>
      </c>
      <c r="N247" s="21"/>
      <c r="O247" s="21"/>
      <c r="P247" s="21"/>
      <c r="Q247" s="21"/>
      <c r="R247" s="21"/>
      <c r="S247" s="21"/>
      <c r="T247" s="21"/>
      <c r="U247" s="21"/>
      <c r="V247" s="21"/>
    </row>
    <row r="248" spans="1:22" s="13" customFormat="1" ht="12.75" x14ac:dyDescent="0.2">
      <c r="A248" s="112"/>
      <c r="B248" s="113"/>
      <c r="C248" s="18"/>
      <c r="D248" s="122"/>
      <c r="E248" s="123"/>
      <c r="F248" s="123"/>
      <c r="G248" s="123"/>
      <c r="H248" s="124"/>
      <c r="I248" s="18"/>
      <c r="J248" s="8"/>
      <c r="K248" s="20"/>
      <c r="L248" s="54">
        <f t="shared" si="6"/>
        <v>0</v>
      </c>
      <c r="N248" s="21"/>
      <c r="O248" s="21"/>
      <c r="P248" s="21"/>
      <c r="Q248" s="21"/>
      <c r="R248" s="21"/>
      <c r="S248" s="21"/>
      <c r="T248" s="21"/>
      <c r="U248" s="21"/>
      <c r="V248" s="21"/>
    </row>
    <row r="249" spans="1:22" s="13" customFormat="1" ht="12.75" x14ac:dyDescent="0.2">
      <c r="A249" s="101"/>
      <c r="B249" s="102"/>
      <c r="C249" s="18"/>
      <c r="D249" s="122"/>
      <c r="E249" s="123"/>
      <c r="F249" s="123"/>
      <c r="G249" s="123"/>
      <c r="H249" s="124"/>
      <c r="I249" s="18"/>
      <c r="J249" s="8"/>
      <c r="K249" s="20"/>
      <c r="L249" s="54">
        <f t="shared" ref="L249" si="7">SUM(I249*K249)</f>
        <v>0</v>
      </c>
      <c r="N249" s="21"/>
      <c r="O249" s="21"/>
      <c r="P249" s="21"/>
      <c r="Q249" s="21"/>
      <c r="R249" s="21"/>
      <c r="S249" s="21"/>
      <c r="T249" s="21"/>
      <c r="U249" s="21"/>
      <c r="V249" s="21"/>
    </row>
    <row r="250" spans="1:22" s="13" customFormat="1" ht="19.5" thickBot="1" x14ac:dyDescent="0.25">
      <c r="A250" s="22"/>
      <c r="B250" s="49"/>
      <c r="C250" s="7"/>
      <c r="D250" s="49"/>
      <c r="E250" s="50"/>
      <c r="F250" s="50"/>
      <c r="G250" s="50"/>
      <c r="H250" s="50"/>
      <c r="I250" s="50"/>
      <c r="J250" s="51" t="s">
        <v>253</v>
      </c>
      <c r="K250" s="129">
        <f>SUM(L9:L42,L51:L83,L106:L153,L159:L195,L215:L230,L234:L249)</f>
        <v>0</v>
      </c>
      <c r="L250" s="130"/>
      <c r="N250" s="21"/>
      <c r="O250" s="21"/>
      <c r="P250" s="21"/>
      <c r="Q250" s="21"/>
      <c r="R250" s="21"/>
      <c r="S250" s="21"/>
      <c r="T250" s="21"/>
      <c r="U250" s="21"/>
      <c r="V250" s="21"/>
    </row>
    <row r="251" spans="1:22" s="13" customFormat="1" ht="12.75" x14ac:dyDescent="0.2">
      <c r="A251" s="117" t="s">
        <v>22</v>
      </c>
      <c r="B251" s="117"/>
      <c r="C251" s="18"/>
      <c r="D251" s="118" t="s">
        <v>232</v>
      </c>
      <c r="E251" s="118"/>
      <c r="F251" s="118"/>
      <c r="G251" s="118"/>
      <c r="H251" s="118"/>
      <c r="I251" s="18"/>
      <c r="J251" s="8" t="s">
        <v>169</v>
      </c>
      <c r="K251" s="20">
        <v>2000</v>
      </c>
      <c r="L251" s="54">
        <f>SUM(I251*K251)</f>
        <v>0</v>
      </c>
      <c r="N251" s="21"/>
      <c r="O251" s="21"/>
      <c r="P251" s="21"/>
      <c r="Q251" s="21"/>
      <c r="R251" s="21"/>
      <c r="S251" s="21"/>
      <c r="T251" s="21"/>
      <c r="U251" s="21"/>
      <c r="V251" s="21"/>
    </row>
    <row r="252" spans="1:22" s="13" customFormat="1" ht="12.75" x14ac:dyDescent="0.2">
      <c r="A252" s="117" t="s">
        <v>23</v>
      </c>
      <c r="B252" s="117"/>
      <c r="C252" s="18"/>
      <c r="D252" s="118" t="s">
        <v>261</v>
      </c>
      <c r="E252" s="118"/>
      <c r="F252" s="118"/>
      <c r="G252" s="118"/>
      <c r="H252" s="118"/>
      <c r="I252" s="18"/>
      <c r="J252" s="8" t="s">
        <v>231</v>
      </c>
      <c r="K252" s="70">
        <f>SUM(K250)</f>
        <v>0</v>
      </c>
      <c r="L252" s="54" t="str">
        <f>IF(I252&gt;0,K250*(I252/100)," ")</f>
        <v xml:space="preserve"> </v>
      </c>
      <c r="N252" s="21"/>
      <c r="O252" s="21"/>
      <c r="P252" s="21"/>
      <c r="Q252" s="21"/>
      <c r="R252" s="21"/>
      <c r="S252" s="21"/>
      <c r="T252" s="21"/>
      <c r="U252" s="21"/>
      <c r="V252" s="21"/>
    </row>
    <row r="253" spans="1:22" s="13" customFormat="1" ht="19.5" thickBot="1" x14ac:dyDescent="0.25">
      <c r="A253" s="49"/>
      <c r="B253" s="49"/>
      <c r="C253" s="69"/>
      <c r="D253" s="66"/>
      <c r="E253" s="66"/>
      <c r="F253" s="66"/>
      <c r="G253" s="66"/>
      <c r="H253" s="66"/>
      <c r="I253" s="69"/>
      <c r="J253" s="51" t="s">
        <v>252</v>
      </c>
      <c r="K253" s="129">
        <f>SUM(K250,L251:L252)</f>
        <v>0</v>
      </c>
      <c r="L253" s="130"/>
      <c r="N253" s="21"/>
      <c r="O253" s="21"/>
      <c r="P253" s="21"/>
      <c r="Q253" s="21"/>
      <c r="R253" s="21"/>
      <c r="S253" s="21"/>
      <c r="T253" s="21"/>
      <c r="U253" s="21"/>
      <c r="V253" s="21"/>
    </row>
    <row r="254" spans="1:22" s="3" customFormat="1" ht="21.75" thickBot="1" x14ac:dyDescent="0.4">
      <c r="A254" s="52"/>
      <c r="B254" s="52"/>
      <c r="C254" s="114" t="s">
        <v>243</v>
      </c>
      <c r="D254" s="114"/>
      <c r="E254" s="114"/>
      <c r="F254" s="114"/>
      <c r="G254" s="114"/>
      <c r="H254" s="114"/>
      <c r="I254" s="114"/>
      <c r="J254" s="114"/>
      <c r="K254" s="52"/>
      <c r="L254" s="52"/>
      <c r="N254" s="10"/>
      <c r="O254" s="10"/>
      <c r="P254" s="10"/>
      <c r="Q254" s="10"/>
      <c r="R254" s="10"/>
      <c r="S254" s="10"/>
      <c r="T254" s="10"/>
      <c r="U254" s="10"/>
      <c r="V254" s="10"/>
    </row>
    <row r="255" spans="1:22" s="3" customFormat="1" ht="18" customHeight="1" thickTop="1" x14ac:dyDescent="0.25">
      <c r="A255" s="34"/>
      <c r="B255" s="94" t="s">
        <v>241</v>
      </c>
      <c r="C255" s="95"/>
      <c r="D255" s="96"/>
      <c r="E255" s="97">
        <f>SUM(L9:L42,L51:L83)</f>
        <v>0</v>
      </c>
      <c r="F255" s="96"/>
      <c r="G255" s="115" t="s">
        <v>244</v>
      </c>
      <c r="H255" s="115"/>
      <c r="I255" s="115"/>
      <c r="J255" s="127">
        <f>SUM(L215:L230)</f>
        <v>0</v>
      </c>
      <c r="K255" s="128"/>
      <c r="L255" s="2"/>
      <c r="N255" s="10"/>
      <c r="O255" s="10"/>
      <c r="P255" s="10"/>
      <c r="Q255" s="10"/>
      <c r="R255" s="10"/>
      <c r="S255" s="10"/>
      <c r="T255" s="10"/>
      <c r="U255" s="10"/>
      <c r="V255" s="10"/>
    </row>
    <row r="256" spans="1:22" s="3" customFormat="1" ht="18" customHeight="1" x14ac:dyDescent="0.25">
      <c r="A256" s="34"/>
      <c r="B256" s="98" t="s">
        <v>242</v>
      </c>
      <c r="C256" s="91"/>
      <c r="D256" s="92"/>
      <c r="E256" s="93">
        <f>SUM(L106:L153,L159:L195)</f>
        <v>0</v>
      </c>
      <c r="F256" s="92"/>
      <c r="G256" s="116" t="s">
        <v>245</v>
      </c>
      <c r="H256" s="116"/>
      <c r="I256" s="116"/>
      <c r="J256" s="125">
        <f>SUM(L234:L249,L251:L252)</f>
        <v>0</v>
      </c>
      <c r="K256" s="126"/>
      <c r="L256" s="2"/>
      <c r="N256" s="10"/>
      <c r="O256" s="10"/>
      <c r="P256" s="10"/>
      <c r="Q256" s="10"/>
      <c r="R256" s="10"/>
      <c r="S256" s="10"/>
      <c r="T256" s="10"/>
      <c r="U256" s="10"/>
      <c r="V256" s="10"/>
    </row>
    <row r="257" spans="1:22" s="3" customFormat="1" ht="18" customHeight="1" thickBot="1" x14ac:dyDescent="0.3">
      <c r="A257" s="34"/>
      <c r="B257" s="119" t="s">
        <v>252</v>
      </c>
      <c r="C257" s="120"/>
      <c r="D257" s="120"/>
      <c r="E257" s="99">
        <f>SUM(E255:E256,J255:K256)</f>
        <v>0</v>
      </c>
      <c r="F257" s="100"/>
      <c r="G257" s="121" t="s">
        <v>234</v>
      </c>
      <c r="H257" s="121"/>
      <c r="I257" s="121"/>
      <c r="J257" s="110">
        <v>250000</v>
      </c>
      <c r="K257" s="111"/>
      <c r="L257" s="2"/>
      <c r="N257" s="10"/>
      <c r="O257" s="10"/>
      <c r="P257" s="10"/>
      <c r="Q257" s="10"/>
      <c r="R257" s="10"/>
      <c r="S257" s="10"/>
      <c r="T257" s="10"/>
      <c r="U257" s="10"/>
      <c r="V257" s="10"/>
    </row>
    <row r="258" spans="1:22" s="3" customFormat="1" ht="18" customHeight="1" thickTop="1" x14ac:dyDescent="0.25">
      <c r="N258" s="10"/>
      <c r="O258" s="10"/>
      <c r="P258" s="10"/>
      <c r="Q258" s="10"/>
      <c r="R258" s="10"/>
      <c r="S258" s="10"/>
      <c r="T258" s="10"/>
      <c r="U258" s="10"/>
      <c r="V258" s="10"/>
    </row>
    <row r="259" spans="1:22" s="3" customFormat="1" ht="18" customHeight="1" x14ac:dyDescent="0.25">
      <c r="N259" s="10"/>
      <c r="O259" s="10"/>
      <c r="P259" s="10"/>
      <c r="Q259" s="10"/>
      <c r="R259" s="10"/>
      <c r="S259" s="10"/>
      <c r="T259" s="10"/>
      <c r="U259" s="10"/>
      <c r="V259" s="10"/>
    </row>
    <row r="260" spans="1:22" s="3" customFormat="1" ht="18" customHeight="1" x14ac:dyDescent="0.25">
      <c r="A260" s="185" t="s">
        <v>262</v>
      </c>
      <c r="B260" s="185"/>
      <c r="C260" s="185"/>
      <c r="D260" s="185"/>
      <c r="E260" s="185"/>
      <c r="F260" s="185"/>
      <c r="G260" s="185"/>
      <c r="H260" s="185"/>
      <c r="I260" s="185"/>
      <c r="J260" s="185"/>
      <c r="K260" s="185"/>
      <c r="L260" s="185"/>
      <c r="N260" s="10"/>
      <c r="O260" s="10"/>
      <c r="P260" s="10"/>
      <c r="Q260" s="10"/>
      <c r="R260" s="10"/>
      <c r="S260" s="10"/>
      <c r="T260" s="10"/>
      <c r="U260" s="10"/>
      <c r="V260" s="10"/>
    </row>
    <row r="261" spans="1:22" x14ac:dyDescent="0.25">
      <c r="A261" s="185"/>
      <c r="B261" s="185"/>
      <c r="C261" s="185"/>
      <c r="D261" s="185"/>
      <c r="E261" s="185"/>
      <c r="F261" s="185"/>
      <c r="G261" s="185"/>
      <c r="H261" s="185"/>
      <c r="I261" s="185"/>
      <c r="J261" s="185"/>
      <c r="K261" s="185"/>
      <c r="L261" s="185"/>
    </row>
    <row r="262" spans="1:22" x14ac:dyDescent="0.25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 t="s">
        <v>264</v>
      </c>
    </row>
    <row r="263" spans="1:22" x14ac:dyDescent="0.25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</row>
    <row r="264" spans="1:22" x14ac:dyDescent="0.25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</row>
    <row r="265" spans="1:22" x14ac:dyDescent="0.25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</row>
    <row r="266" spans="1:22" x14ac:dyDescent="0.25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</row>
    <row r="267" spans="1:22" x14ac:dyDescent="0.25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</row>
    <row r="268" spans="1:22" x14ac:dyDescent="0.25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</row>
    <row r="269" spans="1:22" x14ac:dyDescent="0.25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</row>
    <row r="270" spans="1:22" x14ac:dyDescent="0.25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</row>
    <row r="271" spans="1:22" x14ac:dyDescent="0.25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</row>
    <row r="272" spans="1:22" x14ac:dyDescent="0.25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</row>
    <row r="273" spans="1:12" x14ac:dyDescent="0.25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</row>
    <row r="274" spans="1:12" x14ac:dyDescent="0.25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</row>
    <row r="275" spans="1:12" x14ac:dyDescent="0.25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</row>
    <row r="276" spans="1:12" x14ac:dyDescent="0.25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</row>
    <row r="277" spans="1:12" x14ac:dyDescent="0.25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</row>
    <row r="278" spans="1:12" x14ac:dyDescent="0.25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</row>
    <row r="279" spans="1:12" x14ac:dyDescent="0.25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</row>
    <row r="280" spans="1:12" x14ac:dyDescent="0.25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</row>
    <row r="281" spans="1:12" x14ac:dyDescent="0.25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</row>
    <row r="282" spans="1:12" x14ac:dyDescent="0.25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</row>
    <row r="283" spans="1:12" x14ac:dyDescent="0.25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</row>
    <row r="284" spans="1:12" x14ac:dyDescent="0.25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</row>
    <row r="285" spans="1:12" x14ac:dyDescent="0.25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</row>
    <row r="286" spans="1:12" x14ac:dyDescent="0.25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</row>
    <row r="287" spans="1:12" x14ac:dyDescent="0.25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</row>
    <row r="288" spans="1:12" x14ac:dyDescent="0.25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</row>
    <row r="289" spans="1:12" x14ac:dyDescent="0.25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</row>
    <row r="290" spans="1:12" x14ac:dyDescent="0.25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</row>
    <row r="291" spans="1:12" x14ac:dyDescent="0.25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</row>
    <row r="292" spans="1:12" x14ac:dyDescent="0.25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</row>
    <row r="293" spans="1:12" x14ac:dyDescent="0.25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</row>
    <row r="294" spans="1:12" x14ac:dyDescent="0.25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</row>
    <row r="295" spans="1:12" x14ac:dyDescent="0.25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</row>
    <row r="296" spans="1:12" x14ac:dyDescent="0.25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</row>
    <row r="297" spans="1:12" x14ac:dyDescent="0.25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</row>
    <row r="298" spans="1:12" x14ac:dyDescent="0.25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</row>
    <row r="299" spans="1:12" x14ac:dyDescent="0.25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</row>
    <row r="300" spans="1:12" x14ac:dyDescent="0.25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</row>
    <row r="301" spans="1:12" x14ac:dyDescent="0.25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</row>
    <row r="302" spans="1:12" x14ac:dyDescent="0.25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</row>
  </sheetData>
  <sheetProtection sheet="1" objects="1" scenarios="1"/>
  <mergeCells count="373">
    <mergeCell ref="A260:L261"/>
    <mergeCell ref="D10:H10"/>
    <mergeCell ref="D11:H11"/>
    <mergeCell ref="D12:H12"/>
    <mergeCell ref="D118:H118"/>
    <mergeCell ref="A106:B106"/>
    <mergeCell ref="A107:B107"/>
    <mergeCell ref="A108:B108"/>
    <mergeCell ref="A109:B109"/>
    <mergeCell ref="A110:B110"/>
    <mergeCell ref="A111:B111"/>
    <mergeCell ref="A112:B112"/>
    <mergeCell ref="A113:B113"/>
    <mergeCell ref="A114:B114"/>
    <mergeCell ref="A115:B115"/>
    <mergeCell ref="A116:B116"/>
    <mergeCell ref="D18:H18"/>
    <mergeCell ref="D19:H19"/>
    <mergeCell ref="D20:H20"/>
    <mergeCell ref="D21:H21"/>
    <mergeCell ref="D22:H22"/>
    <mergeCell ref="D13:H13"/>
    <mergeCell ref="D14:H14"/>
    <mergeCell ref="D15:H15"/>
    <mergeCell ref="D16:H16"/>
    <mergeCell ref="B2:F2"/>
    <mergeCell ref="B3:C3"/>
    <mergeCell ref="H2:J2"/>
    <mergeCell ref="K3:L3"/>
    <mergeCell ref="D9:H9"/>
    <mergeCell ref="A4:L4"/>
    <mergeCell ref="A8:B8"/>
    <mergeCell ref="D8:H8"/>
    <mergeCell ref="A7:L7"/>
    <mergeCell ref="A10:B11"/>
    <mergeCell ref="D17:H17"/>
    <mergeCell ref="D28:H28"/>
    <mergeCell ref="D29:H29"/>
    <mergeCell ref="D30:H30"/>
    <mergeCell ref="D31:H31"/>
    <mergeCell ref="D32:H32"/>
    <mergeCell ref="D23:H23"/>
    <mergeCell ref="D24:H24"/>
    <mergeCell ref="D25:H25"/>
    <mergeCell ref="D26:H26"/>
    <mergeCell ref="D27:H27"/>
    <mergeCell ref="D33:H33"/>
    <mergeCell ref="D34:H34"/>
    <mergeCell ref="D35:H35"/>
    <mergeCell ref="D36:H36"/>
    <mergeCell ref="D37:H37"/>
    <mergeCell ref="D51:H51"/>
    <mergeCell ref="D52:H52"/>
    <mergeCell ref="D53:H53"/>
    <mergeCell ref="D54:H54"/>
    <mergeCell ref="D50:H50"/>
    <mergeCell ref="D69:H69"/>
    <mergeCell ref="D70:H70"/>
    <mergeCell ref="D71:H71"/>
    <mergeCell ref="D72:H72"/>
    <mergeCell ref="D73:H73"/>
    <mergeCell ref="D60:H60"/>
    <mergeCell ref="D61:H61"/>
    <mergeCell ref="D62:H62"/>
    <mergeCell ref="D38:H38"/>
    <mergeCell ref="D39:H39"/>
    <mergeCell ref="D40:H40"/>
    <mergeCell ref="D41:H41"/>
    <mergeCell ref="D42:H42"/>
    <mergeCell ref="D55:H55"/>
    <mergeCell ref="D56:H56"/>
    <mergeCell ref="D57:H57"/>
    <mergeCell ref="D58:H58"/>
    <mergeCell ref="D59:H59"/>
    <mergeCell ref="A49:L49"/>
    <mergeCell ref="D63:H63"/>
    <mergeCell ref="A51:B51"/>
    <mergeCell ref="A52:B52"/>
    <mergeCell ref="A53:B53"/>
    <mergeCell ref="A54:B54"/>
    <mergeCell ref="A64:B64"/>
    <mergeCell ref="A65:B65"/>
    <mergeCell ref="A66:B66"/>
    <mergeCell ref="D79:H79"/>
    <mergeCell ref="D80:H80"/>
    <mergeCell ref="D81:H81"/>
    <mergeCell ref="D82:H82"/>
    <mergeCell ref="D64:H64"/>
    <mergeCell ref="D65:H65"/>
    <mergeCell ref="D66:H66"/>
    <mergeCell ref="D67:H67"/>
    <mergeCell ref="D68:H68"/>
    <mergeCell ref="A81:B81"/>
    <mergeCell ref="A72:B72"/>
    <mergeCell ref="A73:B73"/>
    <mergeCell ref="A74:B74"/>
    <mergeCell ref="A75:B75"/>
    <mergeCell ref="A76:B76"/>
    <mergeCell ref="A67:B67"/>
    <mergeCell ref="A68:B68"/>
    <mergeCell ref="A69:B69"/>
    <mergeCell ref="A70:B70"/>
    <mergeCell ref="D74:H74"/>
    <mergeCell ref="D75:H75"/>
    <mergeCell ref="A55:B55"/>
    <mergeCell ref="A56:B56"/>
    <mergeCell ref="A57:B57"/>
    <mergeCell ref="A58:B58"/>
    <mergeCell ref="A59:B59"/>
    <mergeCell ref="A60:B60"/>
    <mergeCell ref="A61:B61"/>
    <mergeCell ref="A62:B62"/>
    <mergeCell ref="A63:B63"/>
    <mergeCell ref="A71:B71"/>
    <mergeCell ref="A85:L85"/>
    <mergeCell ref="A86:L86"/>
    <mergeCell ref="A87:L87"/>
    <mergeCell ref="A88:L88"/>
    <mergeCell ref="A89:L89"/>
    <mergeCell ref="A77:B77"/>
    <mergeCell ref="A78:B78"/>
    <mergeCell ref="A79:B79"/>
    <mergeCell ref="A80:B80"/>
    <mergeCell ref="D83:H83"/>
    <mergeCell ref="D76:H76"/>
    <mergeCell ref="D77:H77"/>
    <mergeCell ref="D78:H78"/>
    <mergeCell ref="A82:B83"/>
    <mergeCell ref="D129:H129"/>
    <mergeCell ref="D130:H130"/>
    <mergeCell ref="D131:H131"/>
    <mergeCell ref="D110:H110"/>
    <mergeCell ref="D111:H111"/>
    <mergeCell ref="D112:H112"/>
    <mergeCell ref="D113:H113"/>
    <mergeCell ref="D132:H132"/>
    <mergeCell ref="D133:H133"/>
    <mergeCell ref="D124:H124"/>
    <mergeCell ref="D125:H125"/>
    <mergeCell ref="D126:H126"/>
    <mergeCell ref="D127:H127"/>
    <mergeCell ref="D128:H128"/>
    <mergeCell ref="D119:H119"/>
    <mergeCell ref="D120:H120"/>
    <mergeCell ref="D121:H121"/>
    <mergeCell ref="D122:H122"/>
    <mergeCell ref="D123:H123"/>
    <mergeCell ref="A118:B118"/>
    <mergeCell ref="A119:B119"/>
    <mergeCell ref="A120:B120"/>
    <mergeCell ref="D114:H114"/>
    <mergeCell ref="D115:H115"/>
    <mergeCell ref="D116:H116"/>
    <mergeCell ref="D117:H117"/>
    <mergeCell ref="A90:L90"/>
    <mergeCell ref="A126:B128"/>
    <mergeCell ref="A94:L94"/>
    <mergeCell ref="A104:L104"/>
    <mergeCell ref="A105:B105"/>
    <mergeCell ref="D105:H105"/>
    <mergeCell ref="A117:B117"/>
    <mergeCell ref="A91:L91"/>
    <mergeCell ref="A92:L92"/>
    <mergeCell ref="A93:L93"/>
    <mergeCell ref="D106:H106"/>
    <mergeCell ref="D107:H107"/>
    <mergeCell ref="D108:H108"/>
    <mergeCell ref="D109:H109"/>
    <mergeCell ref="D148:H148"/>
    <mergeCell ref="D158:H158"/>
    <mergeCell ref="A150:B150"/>
    <mergeCell ref="A151:B151"/>
    <mergeCell ref="D134:H134"/>
    <mergeCell ref="D135:H135"/>
    <mergeCell ref="D136:H136"/>
    <mergeCell ref="D137:H137"/>
    <mergeCell ref="D138:H138"/>
    <mergeCell ref="A147:B147"/>
    <mergeCell ref="A148:B148"/>
    <mergeCell ref="A149:B149"/>
    <mergeCell ref="D139:H139"/>
    <mergeCell ref="D140:H140"/>
    <mergeCell ref="D141:H141"/>
    <mergeCell ref="D143:H143"/>
    <mergeCell ref="D144:H144"/>
    <mergeCell ref="D145:H145"/>
    <mergeCell ref="D146:H146"/>
    <mergeCell ref="D147:H147"/>
    <mergeCell ref="D173:H173"/>
    <mergeCell ref="D174:H174"/>
    <mergeCell ref="D175:H175"/>
    <mergeCell ref="D176:H176"/>
    <mergeCell ref="D177:H177"/>
    <mergeCell ref="A176:B176"/>
    <mergeCell ref="D149:H149"/>
    <mergeCell ref="D150:H150"/>
    <mergeCell ref="D151:H151"/>
    <mergeCell ref="D152:H152"/>
    <mergeCell ref="D153:H153"/>
    <mergeCell ref="A187:B187"/>
    <mergeCell ref="A178:B178"/>
    <mergeCell ref="A179:B179"/>
    <mergeCell ref="A180:B180"/>
    <mergeCell ref="A181:B181"/>
    <mergeCell ref="A182:B182"/>
    <mergeCell ref="A131:B131"/>
    <mergeCell ref="A171:B171"/>
    <mergeCell ref="A172:B172"/>
    <mergeCell ref="A173:B173"/>
    <mergeCell ref="A174:B174"/>
    <mergeCell ref="A175:B175"/>
    <mergeCell ref="A158:B158"/>
    <mergeCell ref="A159:B159"/>
    <mergeCell ref="A161:B161"/>
    <mergeCell ref="A162:B162"/>
    <mergeCell ref="A163:B163"/>
    <mergeCell ref="A152:B152"/>
    <mergeCell ref="A153:B153"/>
    <mergeCell ref="A140:B142"/>
    <mergeCell ref="A177:B177"/>
    <mergeCell ref="A50:B50"/>
    <mergeCell ref="A164:B164"/>
    <mergeCell ref="A165:B165"/>
    <mergeCell ref="A166:B166"/>
    <mergeCell ref="A167:B167"/>
    <mergeCell ref="A168:B168"/>
    <mergeCell ref="A139:B139"/>
    <mergeCell ref="A169:B169"/>
    <mergeCell ref="A170:B170"/>
    <mergeCell ref="A132:B132"/>
    <mergeCell ref="A133:B133"/>
    <mergeCell ref="A134:B134"/>
    <mergeCell ref="A135:B135"/>
    <mergeCell ref="A136:B136"/>
    <mergeCell ref="A129:B129"/>
    <mergeCell ref="A130:B130"/>
    <mergeCell ref="A143:B143"/>
    <mergeCell ref="A144:B144"/>
    <mergeCell ref="A145:B145"/>
    <mergeCell ref="A146:B146"/>
    <mergeCell ref="A137:B137"/>
    <mergeCell ref="A138:B138"/>
    <mergeCell ref="A125:B125"/>
    <mergeCell ref="A121:B124"/>
    <mergeCell ref="D182:H182"/>
    <mergeCell ref="A193:B193"/>
    <mergeCell ref="A194:B194"/>
    <mergeCell ref="A195:B195"/>
    <mergeCell ref="D159:H159"/>
    <mergeCell ref="D161:H161"/>
    <mergeCell ref="D162:H162"/>
    <mergeCell ref="D163:H163"/>
    <mergeCell ref="D164:H164"/>
    <mergeCell ref="D165:H165"/>
    <mergeCell ref="D166:H166"/>
    <mergeCell ref="D167:H167"/>
    <mergeCell ref="D168:H168"/>
    <mergeCell ref="D169:H169"/>
    <mergeCell ref="D170:H170"/>
    <mergeCell ref="D171:H171"/>
    <mergeCell ref="D172:H172"/>
    <mergeCell ref="A190:B190"/>
    <mergeCell ref="A191:B191"/>
    <mergeCell ref="A192:B192"/>
    <mergeCell ref="A183:B183"/>
    <mergeCell ref="A184:B184"/>
    <mergeCell ref="A185:B185"/>
    <mergeCell ref="A186:B186"/>
    <mergeCell ref="A198:L198"/>
    <mergeCell ref="A199:L199"/>
    <mergeCell ref="A200:L200"/>
    <mergeCell ref="A201:L201"/>
    <mergeCell ref="D193:H193"/>
    <mergeCell ref="D194:H194"/>
    <mergeCell ref="D195:H195"/>
    <mergeCell ref="A157:L157"/>
    <mergeCell ref="A197:L197"/>
    <mergeCell ref="D188:H188"/>
    <mergeCell ref="D189:H189"/>
    <mergeCell ref="D190:H190"/>
    <mergeCell ref="D191:H191"/>
    <mergeCell ref="D192:H192"/>
    <mergeCell ref="D183:H183"/>
    <mergeCell ref="D184:H184"/>
    <mergeCell ref="D185:H185"/>
    <mergeCell ref="D186:H186"/>
    <mergeCell ref="D187:H187"/>
    <mergeCell ref="D178:H178"/>
    <mergeCell ref="D179:H179"/>
    <mergeCell ref="D180:H180"/>
    <mergeCell ref="D181:H181"/>
    <mergeCell ref="A188:B189"/>
    <mergeCell ref="A202:L202"/>
    <mergeCell ref="A203:L203"/>
    <mergeCell ref="A213:L213"/>
    <mergeCell ref="A225:B225"/>
    <mergeCell ref="A226:B226"/>
    <mergeCell ref="A227:B227"/>
    <mergeCell ref="A228:B228"/>
    <mergeCell ref="A229:B229"/>
    <mergeCell ref="A230:B230"/>
    <mergeCell ref="D215:H215"/>
    <mergeCell ref="D216:H216"/>
    <mergeCell ref="D217:H217"/>
    <mergeCell ref="D218:H218"/>
    <mergeCell ref="D219:H219"/>
    <mergeCell ref="D220:H220"/>
    <mergeCell ref="A214:B214"/>
    <mergeCell ref="D214:H214"/>
    <mergeCell ref="A232:L232"/>
    <mergeCell ref="A215:B215"/>
    <mergeCell ref="A216:B216"/>
    <mergeCell ref="A217:B217"/>
    <mergeCell ref="A218:B218"/>
    <mergeCell ref="A219:B219"/>
    <mergeCell ref="A220:B220"/>
    <mergeCell ref="A221:B221"/>
    <mergeCell ref="A222:B222"/>
    <mergeCell ref="A223:B223"/>
    <mergeCell ref="A224:B224"/>
    <mergeCell ref="D226:H226"/>
    <mergeCell ref="D227:H227"/>
    <mergeCell ref="D228:H228"/>
    <mergeCell ref="D229:H229"/>
    <mergeCell ref="D230:H230"/>
    <mergeCell ref="D221:H221"/>
    <mergeCell ref="D222:H222"/>
    <mergeCell ref="D223:H223"/>
    <mergeCell ref="D224:H224"/>
    <mergeCell ref="D225:H225"/>
    <mergeCell ref="A234:B234"/>
    <mergeCell ref="A235:B235"/>
    <mergeCell ref="A236:B236"/>
    <mergeCell ref="A246:B246"/>
    <mergeCell ref="D246:H246"/>
    <mergeCell ref="A233:B233"/>
    <mergeCell ref="D233:H233"/>
    <mergeCell ref="D234:H234"/>
    <mergeCell ref="D235:H235"/>
    <mergeCell ref="D236:H236"/>
    <mergeCell ref="D237:H237"/>
    <mergeCell ref="D238:H238"/>
    <mergeCell ref="D239:H239"/>
    <mergeCell ref="D240:H240"/>
    <mergeCell ref="D241:H241"/>
    <mergeCell ref="D242:H242"/>
    <mergeCell ref="A237:B238"/>
    <mergeCell ref="D243:H243"/>
    <mergeCell ref="A239:B239"/>
    <mergeCell ref="A243:B243"/>
    <mergeCell ref="J257:K257"/>
    <mergeCell ref="A240:B242"/>
    <mergeCell ref="C254:J254"/>
    <mergeCell ref="G255:I255"/>
    <mergeCell ref="G256:I256"/>
    <mergeCell ref="A251:B251"/>
    <mergeCell ref="A252:B252"/>
    <mergeCell ref="D251:H251"/>
    <mergeCell ref="D252:H252"/>
    <mergeCell ref="B257:D257"/>
    <mergeCell ref="G257:I257"/>
    <mergeCell ref="A247:B248"/>
    <mergeCell ref="D247:H247"/>
    <mergeCell ref="D248:H248"/>
    <mergeCell ref="D249:H249"/>
    <mergeCell ref="J256:K256"/>
    <mergeCell ref="J255:K255"/>
    <mergeCell ref="K253:L253"/>
    <mergeCell ref="K250:L250"/>
    <mergeCell ref="A244:B244"/>
    <mergeCell ref="A245:B245"/>
    <mergeCell ref="D244:H244"/>
    <mergeCell ref="D245:H245"/>
  </mergeCells>
  <phoneticPr fontId="4" type="noConversion"/>
  <printOptions horizontalCentered="1"/>
  <pageMargins left="0.25" right="0.25" top="0.25" bottom="0.25" header="0" footer="0"/>
  <pageSetup fitToHeight="5" orientation="portrait"/>
  <headerFooter>
    <oddFooter>&amp;L&amp;"Calibri,Regular"&amp;8&amp;K000000ea = each | lf = linear feet | ls = lump sum | sf = square feet | sy = square yards&amp;R&amp;"Calibri,Regular"&amp;8&amp;K000000Page &amp;P</oddFooter>
  </headerFooter>
  <ignoredErrors>
    <ignoredError sqref="L251 L234:L245 L215:L230 L161:L195 L106:L153 L51:L83 L159 L246:L249 E256" emptyCellReference="1"/>
  </ignoredErrors>
  <drawing r:id="rId1"/>
  <legacyDrawing r:id="rId2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1062" r:id="rId3" name="Check Box 38">
              <controlPr defaultSize="0" autoFill="0" autoLine="0" autoPict="0">
                <anchor moveWithCells="1">
                  <from>
                    <xdr:col>1</xdr:col>
                    <xdr:colOff>333375</xdr:colOff>
                    <xdr:row>5</xdr:row>
                    <xdr:rowOff>9525</xdr:rowOff>
                  </from>
                  <to>
                    <xdr:col>2</xdr:col>
                    <xdr:colOff>104775</xdr:colOff>
                    <xdr:row>5</xdr:row>
                    <xdr:rowOff>238125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02" r:id="rId4" name="Check Box 78">
              <controlPr defaultSize="0" autoFill="0" autoLine="0" autoPict="0">
                <anchor moveWithCells="1">
                  <from>
                    <xdr:col>3</xdr:col>
                    <xdr:colOff>381000</xdr:colOff>
                    <xdr:row>5</xdr:row>
                    <xdr:rowOff>9525</xdr:rowOff>
                  </from>
                  <to>
                    <xdr:col>4</xdr:col>
                    <xdr:colOff>190500</xdr:colOff>
                    <xdr:row>5</xdr:row>
                    <xdr:rowOff>238125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04" r:id="rId5" name="Check Box 80">
              <controlPr defaultSize="0" autoFill="0" autoLine="0" autoPict="0">
                <anchor moveWithCells="1">
                  <from>
                    <xdr:col>4</xdr:col>
                    <xdr:colOff>485775</xdr:colOff>
                    <xdr:row>5</xdr:row>
                    <xdr:rowOff>9525</xdr:rowOff>
                  </from>
                  <to>
                    <xdr:col>4</xdr:col>
                    <xdr:colOff>876300</xdr:colOff>
                    <xdr:row>5</xdr:row>
                    <xdr:rowOff>238125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08" r:id="rId6" name="Check Box 84">
              <controlPr defaultSize="0" autoFill="0" autoLine="0" autoPict="0">
                <anchor moveWithCells="1">
                  <from>
                    <xdr:col>5</xdr:col>
                    <xdr:colOff>180975</xdr:colOff>
                    <xdr:row>5</xdr:row>
                    <xdr:rowOff>9525</xdr:rowOff>
                  </from>
                  <to>
                    <xdr:col>5</xdr:col>
                    <xdr:colOff>571500</xdr:colOff>
                    <xdr:row>5</xdr:row>
                    <xdr:rowOff>238125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11" r:id="rId7" name="Check Box 87">
              <controlPr defaultSize="0" autoFill="0" autoLine="0" autoPict="0">
                <anchor moveWithCells="1">
                  <from>
                    <xdr:col>6</xdr:col>
                    <xdr:colOff>733425</xdr:colOff>
                    <xdr:row>5</xdr:row>
                    <xdr:rowOff>9525</xdr:rowOff>
                  </from>
                  <to>
                    <xdr:col>7</xdr:col>
                    <xdr:colOff>142875</xdr:colOff>
                    <xdr:row>5</xdr:row>
                    <xdr:rowOff>238125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14" r:id="rId8" name="Check Box 90">
              <controlPr defaultSize="0" autoFill="0" autoLine="0" autoPict="0">
                <anchor moveWithCells="1">
                  <from>
                    <xdr:col>9</xdr:col>
                    <xdr:colOff>333375</xdr:colOff>
                    <xdr:row>5</xdr:row>
                    <xdr:rowOff>9525</xdr:rowOff>
                  </from>
                  <to>
                    <xdr:col>10</xdr:col>
                    <xdr:colOff>333375</xdr:colOff>
                    <xdr:row>5</xdr:row>
                    <xdr:rowOff>238125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17" r:id="rId9" name="Check Box 93">
              <controlPr defaultSize="0" autoFill="0" autoLine="0" autoPict="0">
                <anchor moveWithCells="1">
                  <from>
                    <xdr:col>10</xdr:col>
                    <xdr:colOff>581025</xdr:colOff>
                    <xdr:row>5</xdr:row>
                    <xdr:rowOff>9525</xdr:rowOff>
                  </from>
                  <to>
                    <xdr:col>11</xdr:col>
                    <xdr:colOff>257175</xdr:colOff>
                    <xdr:row>5</xdr:row>
                    <xdr:rowOff>238125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43" r:id="rId10" name="Check Box 19">
              <controlPr defaultSize="0" autoFill="0" autoLine="0" autoPict="0">
                <anchor moveWithCells="1">
                  <from>
                    <xdr:col>0</xdr:col>
                    <xdr:colOff>295275</xdr:colOff>
                    <xdr:row>5</xdr:row>
                    <xdr:rowOff>9525</xdr:rowOff>
                  </from>
                  <to>
                    <xdr:col>1</xdr:col>
                    <xdr:colOff>47625</xdr:colOff>
                    <xdr:row>5</xdr:row>
                    <xdr:rowOff>238125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24" r:id="rId11" name="Check Box 100">
              <controlPr defaultSize="0" autoFill="0" autoLine="0" autoPict="0">
                <anchor moveWithCells="1">
                  <from>
                    <xdr:col>1</xdr:col>
                    <xdr:colOff>466725</xdr:colOff>
                    <xdr:row>4</xdr:row>
                    <xdr:rowOff>9525</xdr:rowOff>
                  </from>
                  <to>
                    <xdr:col>2</xdr:col>
                    <xdr:colOff>238125</xdr:colOff>
                    <xdr:row>4</xdr:row>
                    <xdr:rowOff>238125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28" r:id="rId12" name="Check Box 104">
              <controlPr defaultSize="0" autoFill="0" autoLine="0" autoPict="0">
                <anchor moveWithCells="1">
                  <from>
                    <xdr:col>4</xdr:col>
                    <xdr:colOff>28575</xdr:colOff>
                    <xdr:row>4</xdr:row>
                    <xdr:rowOff>9525</xdr:rowOff>
                  </from>
                  <to>
                    <xdr:col>4</xdr:col>
                    <xdr:colOff>419100</xdr:colOff>
                    <xdr:row>4</xdr:row>
                    <xdr:rowOff>238125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32" r:id="rId13" name="Check Box 108">
              <controlPr defaultSize="0" autoFill="0" autoLine="0" autoPict="0">
                <anchor moveWithCells="1">
                  <from>
                    <xdr:col>5</xdr:col>
                    <xdr:colOff>47625</xdr:colOff>
                    <xdr:row>4</xdr:row>
                    <xdr:rowOff>9525</xdr:rowOff>
                  </from>
                  <to>
                    <xdr:col>5</xdr:col>
                    <xdr:colOff>447675</xdr:colOff>
                    <xdr:row>4</xdr:row>
                    <xdr:rowOff>238125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36" r:id="rId14" name="Check Box 112">
              <controlPr defaultSize="0" autoFill="0" autoLine="0" autoPict="0">
                <anchor moveWithCells="1">
                  <from>
                    <xdr:col>7</xdr:col>
                    <xdr:colOff>38100</xdr:colOff>
                    <xdr:row>4</xdr:row>
                    <xdr:rowOff>9525</xdr:rowOff>
                  </from>
                  <to>
                    <xdr:col>8</xdr:col>
                    <xdr:colOff>238125</xdr:colOff>
                    <xdr:row>4</xdr:row>
                    <xdr:rowOff>238125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20" r:id="rId15" name="Check Box 96">
              <controlPr defaultSize="0" autoFill="0" autoLine="0" autoPict="0">
                <anchor moveWithCells="1">
                  <from>
                    <xdr:col>0</xdr:col>
                    <xdr:colOff>219075</xdr:colOff>
                    <xdr:row>4</xdr:row>
                    <xdr:rowOff>9525</xdr:rowOff>
                  </from>
                  <to>
                    <xdr:col>0</xdr:col>
                    <xdr:colOff>609600</xdr:colOff>
                    <xdr:row>4</xdr:row>
                    <xdr:rowOff>238125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40" r:id="rId16" name="Check Box 116">
              <controlPr defaultSize="0" autoFill="0" autoLine="0" autoPict="0">
                <anchor moveWithCells="1">
                  <from>
                    <xdr:col>10</xdr:col>
                    <xdr:colOff>333375</xdr:colOff>
                    <xdr:row>4</xdr:row>
                    <xdr:rowOff>9525</xdr:rowOff>
                  </from>
                  <to>
                    <xdr:col>11</xdr:col>
                    <xdr:colOff>0</xdr:colOff>
                    <xdr:row>4</xdr:row>
                    <xdr:rowOff>238125</xdr:rowOff>
                  </to>
                </anchor>
              </controlPr>
            </control>
          </mc:Choice>
        </mc:AlternateContent>
      </controls>
    </mc:Choice>
  </mc:AlternateConten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Repair Estimator</vt:lpstr>
      <vt:lpstr>'Repair Estimator'!Print_Area</vt:lpstr>
    </vt:vector>
  </TitlesOfParts>
  <Company>Aileron Marketing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Peter Jonnes</dc:creator>
  <cp:lastModifiedBy>Megachile</cp:lastModifiedBy>
  <cp:lastPrinted>2014-09-30T18:15:17Z</cp:lastPrinted>
  <dcterms:created xsi:type="dcterms:W3CDTF">2014-08-12T21:44:22Z</dcterms:created>
  <dcterms:modified xsi:type="dcterms:W3CDTF">2017-04-19T19:30:06Z</dcterms:modified>
</cp:coreProperties>
</file>