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gachile\Desktop\"/>
    </mc:Choice>
  </mc:AlternateContent>
  <bookViews>
    <workbookView xWindow="16335" yWindow="465" windowWidth="24105" windowHeight="24585" tabRatio="743" activeTab="1"/>
  </bookViews>
  <sheets>
    <sheet name="Deal Inputs" sheetId="10" r:id="rId1"/>
    <sheet name="Deal Analyzer for Rentals" sheetId="9" r:id="rId2"/>
  </sheets>
  <externalReferences>
    <externalReference r:id="rId3"/>
    <externalReference r:id="rId4"/>
    <externalReference r:id="rId5"/>
    <externalReference r:id="rId6"/>
    <externalReference r:id="rId7"/>
    <externalReference r:id="rId8"/>
    <externalReference r:id="rId9"/>
  </externalReferences>
  <definedNames>
    <definedName name="_ProjectsArray">'[1]Project List'!$A$6:$J$49</definedName>
    <definedName name="BuiltIn_AutoFilter___1" localSheetId="1">#REF!</definedName>
    <definedName name="BuiltIn_AutoFilter___1" localSheetId="0">#REF!</definedName>
    <definedName name="BuiltIn_AutoFilter___1">#REF!</definedName>
    <definedName name="BuiltIn_AutoFilter___1_1" localSheetId="1">#REF!</definedName>
    <definedName name="BuiltIn_AutoFilter___1_1" localSheetId="0">#REF!</definedName>
    <definedName name="BuiltIn_AutoFilter___1_1">#REF!</definedName>
    <definedName name="BuiltIn_AutoFilter___1_2" localSheetId="1">#REF!</definedName>
    <definedName name="BuiltIn_AutoFilter___1_2" localSheetId="0">#REF!</definedName>
    <definedName name="BuiltIn_AutoFilter___1_2">#REF!</definedName>
    <definedName name="BuiltIn_AutoFilter___1_3" localSheetId="0">#REF!</definedName>
    <definedName name="BuiltIn_AutoFilter___1_3">#REF!</definedName>
    <definedName name="BuiltIn_AutoFilter___1_4" localSheetId="0">#REF!</definedName>
    <definedName name="BuiltIn_AutoFilter___1_4">#REF!</definedName>
    <definedName name="BuiltIn_AutoFilter___1_5" localSheetId="0">#REF!</definedName>
    <definedName name="BuiltIn_AutoFilter___1_5">#REF!</definedName>
    <definedName name="Category">OFFSET([2]Lookup!$C$2,0,0,MIN(COUNTA([2]Lookup!$C$2:$C$100)))</definedName>
    <definedName name="Design">'[1]Project List'!$F$6:$F$49</definedName>
    <definedName name="Development">'[1]Project List'!$H$6:$H$49</definedName>
    <definedName name="Editorial">'[1]Project List'!$G$6:$G$49</definedName>
    <definedName name="Endorsement">'[1]Project List'!$E$6:$E$49</definedName>
    <definedName name="holidays">OFFSET([3]Holidays!$A$10,1,0,COUNTA([3]Holidays!$A$11:$A$4996),1)</definedName>
    <definedName name="HTML_CodePage" hidden="1">1252</definedName>
    <definedName name="HTML_Control" localSheetId="1" hidden="1">{"'Open Issues'!$A$1:$K$12","'Action Items'!$A$1:$F$30","'Risks'!$A$5:$I$10"}</definedName>
    <definedName name="HTML_Control" localSheetId="0" hidden="1">{"'Open Issues'!$A$1:$K$12","'Action Items'!$A$1:$F$30","'Risks'!$A$5:$I$10"}</definedName>
    <definedName name="HTML_Control" hidden="1">{"'Open Issues'!$A$1:$K$12","'Action Items'!$A$1:$F$30","'Risks'!$A$5:$I$10"}</definedName>
    <definedName name="HTML_Description" hidden="1">""</definedName>
    <definedName name="HTML_Email" hidden="1">"thomasmo"</definedName>
    <definedName name="HTML_Header" hidden="1">""</definedName>
    <definedName name="HTML_LastUpdate" hidden="1">"6/10/98"</definedName>
    <definedName name="HTML_LineAfter" hidden="1">FALSE</definedName>
    <definedName name="HTML_LineBefore" hidden="1">FALSE</definedName>
    <definedName name="HTML_Name" hidden="1">"Thomas Morrissey"</definedName>
    <definedName name="HTML_OBDlg2" hidden="1">TRUE</definedName>
    <definedName name="HTML_OBDlg4" hidden="1">TRUE</definedName>
    <definedName name="HTML_OS" hidden="1">0</definedName>
    <definedName name="HTML_PathFile" hidden="1">"D:\LVP1.0\Proj Mgt\LVP Action Items.htm"</definedName>
    <definedName name="HTML_Title" hidden="1">"LVP Action Items, Isues, Risks"</definedName>
    <definedName name="Launch">'[1]Project List'!$J$6:$J$49</definedName>
    <definedName name="LOB">OFFSET([2]Lookup!$D$2,0,0,MIN(COUNTA([2]Lookup!$D$2:$D$100)))</definedName>
    <definedName name="MPCalc1">[4]Internals!$D$4</definedName>
    <definedName name="MPCalc10">[4]Internals!$D$13</definedName>
    <definedName name="MPCalc11">[4]Internals!$D$14</definedName>
    <definedName name="MPCalc12">[4]Internals!$D$15</definedName>
    <definedName name="MPCalc2">[4]Internals!$D$5</definedName>
    <definedName name="MPCalc3">[4]Internals!$D$6</definedName>
    <definedName name="MPCalc4">[4]Internals!$D$7</definedName>
    <definedName name="MPCalc5">[4]Internals!$D$8</definedName>
    <definedName name="MPCalc6">[4]Internals!$D$9</definedName>
    <definedName name="MPCalc7">[4]Internals!$D$10</definedName>
    <definedName name="MPCalc8">[4]Internals!$D$11</definedName>
    <definedName name="MPCalc9">[4]Internals!$D$12</definedName>
    <definedName name="Ok" localSheetId="0">#REF!</definedName>
    <definedName name="Ok">#REF!</definedName>
    <definedName name="_xlnm.Print_Area" localSheetId="1">'Deal Analyzer for Rentals'!$B$2:$J$25</definedName>
    <definedName name="Priority">OFFSET([2]Lookup!$B$2,0,0,MIN(COUNTA([2]Lookup!$B$2:$B$100)))</definedName>
    <definedName name="ProcApp" localSheetId="1">#REF!</definedName>
    <definedName name="ProcApp" localSheetId="0">#REF!</definedName>
    <definedName name="ProcApp">#REF!</definedName>
    <definedName name="RowOffset">'[1]Project List'!$I$1</definedName>
    <definedName name="sort_range" localSheetId="1">'[5]Open Issues'!$3:$681</definedName>
    <definedName name="sort_range">'[6]Open Issues'!$3:$681</definedName>
    <definedName name="Spec">'[1]Project List'!$D$6:$D$49</definedName>
    <definedName name="Stat">'[7]Site Release Action Items List'!$E:$E</definedName>
    <definedName name="Status">OFFSET([2]Lookup!$A$2,0,0,MIN(COUNTA([2]Lookup!$A$2:$A$100)))</definedName>
    <definedName name="statuslist" localSheetId="1">#REF!</definedName>
    <definedName name="statuslist" localSheetId="0">#REF!</definedName>
    <definedName name="statuslist">#REF!</definedName>
    <definedName name="Testing">'[1]Project List'!$I$6:$I$49</definedName>
    <definedName name="valuevx">42.314159</definedName>
    <definedName name="Years">OFFSET([2]Lookup!$L$2,0,0,MIN(COUNTA([2]Lookup!$L$2:$L$20)))</definedName>
  </definedNames>
  <calcPr calcId="162913" concurrentCalc="0"/>
  <extLst>
    <ext xmlns:x14="http://schemas.microsoft.com/office/spreadsheetml/2009/9/main" uri="{79F54976-1DA5-4618-B147-4CDE4B953A38}">
      <x14:workbookPr defaultImageDpi="330"/>
    </ext>
    <ext xmlns:mx="http://schemas.microsoft.com/office/mac/excel/2008/main" uri="{7523E5D3-25F3-A5E0-1632-64F254C22452}">
      <mx:ArchID Flags="4"/>
    </ext>
  </extLst>
</workbook>
</file>

<file path=xl/calcChain.xml><?xml version="1.0" encoding="utf-8"?>
<calcChain xmlns="http://schemas.openxmlformats.org/spreadsheetml/2006/main">
  <c r="H8" i="10" l="1"/>
  <c r="H4" i="9"/>
  <c r="D4" i="9"/>
  <c r="H28" i="9"/>
  <c r="H29" i="9"/>
  <c r="D5" i="9"/>
  <c r="H27" i="9"/>
  <c r="H30" i="9"/>
  <c r="H32" i="9"/>
  <c r="H5" i="9"/>
  <c r="H6" i="9"/>
  <c r="H7" i="9"/>
  <c r="H33" i="9"/>
  <c r="D6" i="9"/>
  <c r="D7" i="9"/>
  <c r="H22" i="9"/>
  <c r="H31" i="9"/>
  <c r="H24" i="9"/>
  <c r="D27" i="9"/>
  <c r="H17" i="9"/>
  <c r="G14" i="9"/>
  <c r="F14" i="9"/>
  <c r="F12" i="9"/>
  <c r="H23" i="9"/>
  <c r="H19" i="9"/>
  <c r="H18" i="9"/>
  <c r="D28" i="9"/>
  <c r="D29" i="9"/>
  <c r="D22" i="9"/>
  <c r="D24" i="9"/>
  <c r="D23" i="9"/>
  <c r="B14" i="9"/>
  <c r="D19" i="9"/>
  <c r="B12" i="9"/>
  <c r="D17" i="9"/>
  <c r="D18" i="9"/>
  <c r="C14" i="9"/>
</calcChain>
</file>

<file path=xl/comments1.xml><?xml version="1.0" encoding="utf-8"?>
<comments xmlns="http://schemas.openxmlformats.org/spreadsheetml/2006/main">
  <authors>
    <author>Microsoft Office User</author>
    <author>Ted McCune</author>
  </authors>
  <commentList>
    <comment ref="B8" authorId="0" shapeId="0">
      <text>
        <r>
          <rPr>
            <b/>
            <sz val="10"/>
            <color indexed="81"/>
            <rFont val="Calibri"/>
          </rPr>
          <t xml:space="preserve">Insert Subject Property Address </t>
        </r>
      </text>
    </comment>
    <comment ref="G8" authorId="0" shapeId="0">
      <text>
        <r>
          <rPr>
            <b/>
            <sz val="10"/>
            <color indexed="81"/>
            <rFont val="Calibri"/>
          </rPr>
          <t xml:space="preserve">Date Analysis was completed </t>
        </r>
      </text>
    </comment>
    <comment ref="B9" authorId="0" shapeId="0">
      <text>
        <r>
          <rPr>
            <b/>
            <sz val="10"/>
            <color indexed="81"/>
            <rFont val="Calibri"/>
          </rPr>
          <t xml:space="preserve">Total Bedroom Count </t>
        </r>
      </text>
    </comment>
    <comment ref="B10" authorId="0" shapeId="0">
      <text>
        <r>
          <rPr>
            <b/>
            <sz val="10"/>
            <color indexed="81"/>
            <rFont val="Calibri"/>
          </rPr>
          <t xml:space="preserve">Total Bathroom Count </t>
        </r>
      </text>
    </comment>
    <comment ref="B11" authorId="0" shapeId="0">
      <text>
        <r>
          <rPr>
            <b/>
            <sz val="10"/>
            <color indexed="81"/>
            <rFont val="Calibri"/>
          </rPr>
          <t>Total Living Sqft</t>
        </r>
      </text>
    </comment>
    <comment ref="B16" authorId="0" shapeId="0">
      <text>
        <r>
          <rPr>
            <b/>
            <sz val="10"/>
            <color indexed="81"/>
            <rFont val="Calibri"/>
          </rPr>
          <t xml:space="preserve">Brief Discription of subject property </t>
        </r>
      </text>
    </comment>
    <comment ref="B22" authorId="1" shapeId="0">
      <text>
        <r>
          <rPr>
            <sz val="9"/>
            <color indexed="81"/>
            <rFont val="Arial"/>
            <family val="2"/>
          </rPr>
          <t xml:space="preserve">Insurance Policy to insure clear and marketable title. Changes based on area, type of policy, underwriter plus costs to search for title history.
</t>
        </r>
      </text>
    </comment>
    <comment ref="E22" authorId="1" shapeId="0">
      <text>
        <r>
          <rPr>
            <sz val="9"/>
            <color indexed="81"/>
            <rFont val="Arial"/>
            <family val="2"/>
          </rPr>
          <t xml:space="preserve">Value of the property after all repairs have been made regadless of purchase price. Also known as "Fair Market Value" </t>
        </r>
      </text>
    </comment>
    <comment ref="I22" authorId="1" shapeId="0">
      <text>
        <r>
          <rPr>
            <sz val="9"/>
            <color indexed="81"/>
            <rFont val="Arial"/>
            <family val="2"/>
          </rPr>
          <t>The 1st position points charged as a % of Mortgage Lien Amount. 1 Point = 1% in calculation.</t>
        </r>
      </text>
    </comment>
    <comment ref="E23" authorId="1" shapeId="0">
      <text>
        <r>
          <rPr>
            <sz val="9"/>
            <color indexed="81"/>
            <rFont val="Arial"/>
            <family val="2"/>
          </rPr>
          <t>The dollar amount you plan to purchase the property for.</t>
        </r>
      </text>
    </comment>
    <comment ref="I23" authorId="1" shapeId="0">
      <text>
        <r>
          <rPr>
            <sz val="9"/>
            <color indexed="81"/>
            <rFont val="Arial"/>
            <family val="2"/>
          </rPr>
          <t>The 1st position loan amount borrowed to purchase the property and / or fund the rehab.</t>
        </r>
      </text>
    </comment>
    <comment ref="E24" authorId="1" shapeId="0">
      <text>
        <r>
          <rPr>
            <sz val="9"/>
            <color indexed="81"/>
            <rFont val="Arial"/>
            <family val="2"/>
          </rPr>
          <t>Use default or enter the actual annual property taxes as reported on the county tax assessors website or enter an estimate.</t>
        </r>
      </text>
    </comment>
    <comment ref="I24" authorId="1" shapeId="0">
      <text>
        <r>
          <rPr>
            <sz val="9"/>
            <color indexed="81"/>
            <rFont val="Arial"/>
            <family val="2"/>
          </rPr>
          <t>The 1st position points charged as a % of Mortgage Lien Amount. 1 Point = 1% in calculation.</t>
        </r>
      </text>
    </comment>
    <comment ref="B25" authorId="1" shapeId="0">
      <text>
        <r>
          <rPr>
            <sz val="9"/>
            <color indexed="81"/>
            <rFont val="Arial"/>
            <family val="2"/>
          </rPr>
          <t>The 1st position loan amount borrowed to purchase the property and / or fund the rehab.</t>
        </r>
      </text>
    </comment>
    <comment ref="E25" authorId="1" shapeId="0">
      <text>
        <r>
          <rPr>
            <sz val="9"/>
            <color indexed="81"/>
            <rFont val="Arial"/>
            <family val="2"/>
          </rPr>
          <t>Use default or enter the Home Owner Association fees typically charged monthly here. If paid quarterly, divide the amount by 3.</t>
        </r>
      </text>
    </comment>
    <comment ref="I25" authorId="1" shapeId="0">
      <text>
        <r>
          <rPr>
            <sz val="9"/>
            <color indexed="81"/>
            <rFont val="Arial"/>
            <family val="2"/>
          </rPr>
          <t xml:space="preserve">The 1st position Interest rate and calculated interest amount based on the entire holding period.
</t>
        </r>
      </text>
    </comment>
    <comment ref="B26" authorId="1" shapeId="0">
      <text>
        <r>
          <rPr>
            <sz val="9"/>
            <color indexed="81"/>
            <rFont val="Arial"/>
            <family val="2"/>
          </rPr>
          <t>The 1st position points charged as a % of Mortgage Lien Amount. 1 Point = 1% in calculation.</t>
        </r>
      </text>
    </comment>
    <comment ref="E26" authorId="1" shapeId="0">
      <text>
        <r>
          <rPr>
            <sz val="9"/>
            <color indexed="81"/>
            <rFont val="Arial"/>
            <family val="2"/>
          </rPr>
          <t>Use default or enter the Home Owner Association fees typically charged monthly here. If paid quarterly, divide the amount by 3.</t>
        </r>
      </text>
    </comment>
    <comment ref="B27" authorId="1" shapeId="0">
      <text>
        <r>
          <rPr>
            <sz val="9"/>
            <color indexed="81"/>
            <rFont val="Arial"/>
            <family val="2"/>
          </rPr>
          <t xml:space="preserve">The 1st position Interest rate and calculated interest amount based on the entire holding period.
</t>
        </r>
      </text>
    </comment>
  </commentList>
</comments>
</file>

<file path=xl/sharedStrings.xml><?xml version="1.0" encoding="utf-8"?>
<sst xmlns="http://schemas.openxmlformats.org/spreadsheetml/2006/main" count="94" uniqueCount="79">
  <si>
    <t>2 Car Garage</t>
  </si>
  <si>
    <t>Purchase Price</t>
  </si>
  <si>
    <t>Estimated Annual Net Expenses</t>
  </si>
  <si>
    <t>Loan Amount</t>
  </si>
  <si>
    <t>Down Payment</t>
  </si>
  <si>
    <t>Estimated Annual Principal &amp; Interest</t>
  </si>
  <si>
    <t>Interest Rate</t>
  </si>
  <si>
    <t>Estimated Principal &amp; Interest</t>
  </si>
  <si>
    <t>Y</t>
  </si>
  <si>
    <t>ARV</t>
  </si>
  <si>
    <t>N</t>
  </si>
  <si>
    <t>Purchase+Rehab</t>
  </si>
  <si>
    <t>PROPERTY DETAILS</t>
  </si>
  <si>
    <t>PROJECT DETAILS</t>
  </si>
  <si>
    <t xml:space="preserve">Property Address:  </t>
  </si>
  <si>
    <t xml:space="preserve">Date:  </t>
  </si>
  <si>
    <t xml:space="preserve">Bed:  </t>
  </si>
  <si>
    <t xml:space="preserve">Occupied:  </t>
  </si>
  <si>
    <t xml:space="preserve">Bath:  </t>
  </si>
  <si>
    <t xml:space="preserve">Evaluator:  </t>
  </si>
  <si>
    <t>Shawn Tiberio</t>
  </si>
  <si>
    <t xml:space="preserve">Total Sqft:  </t>
  </si>
  <si>
    <t xml:space="preserve">Closing Date:  </t>
  </si>
  <si>
    <t xml:space="preserve"># of Units:  </t>
  </si>
  <si>
    <t xml:space="preserve">PROPERTY DESCRIPTION </t>
  </si>
  <si>
    <t xml:space="preserve">This is a 3 bed house located in a great area of the Youngstown market. Perfect for the first time home buyer. Needs some renovations. </t>
  </si>
  <si>
    <t>DEAL FACTORS</t>
  </si>
  <si>
    <t xml:space="preserve">After Repair Value:  </t>
  </si>
  <si>
    <t xml:space="preserve">Purchase Price:  </t>
  </si>
  <si>
    <t xml:space="preserve">Property Taxes (annually):  </t>
  </si>
  <si>
    <t xml:space="preserve">Insurance (annually):  </t>
  </si>
  <si>
    <t xml:space="preserve">HOA &amp; Condo Fees (monthly):  </t>
  </si>
  <si>
    <t>INCOME</t>
  </si>
  <si>
    <t xml:space="preserve">Management Fee (% of Rent):  </t>
  </si>
  <si>
    <t xml:space="preserve">Estimated Vacancy Rate:  </t>
  </si>
  <si>
    <t xml:space="preserve">Estimated Maintenance Costs:  </t>
  </si>
  <si>
    <t xml:space="preserve">Rental Income (monthly):  </t>
  </si>
  <si>
    <t xml:space="preserve">Loan Term in Months:  </t>
  </si>
  <si>
    <t>Gross Rents</t>
  </si>
  <si>
    <t>CASH PURCHASE</t>
  </si>
  <si>
    <t>FINANCED PURCHASE</t>
  </si>
  <si>
    <t xml:space="preserve">Monthly Gross Income </t>
  </si>
  <si>
    <t>Annual Gross Return on Investment (ROI)</t>
  </si>
  <si>
    <t>Annual Net Income</t>
  </si>
  <si>
    <t>Monthly Net Income</t>
  </si>
  <si>
    <t>Annual Cash on Cash Return</t>
  </si>
  <si>
    <t>Loan Terms in Months</t>
  </si>
  <si>
    <t xml:space="preserve">Annual Gross Income </t>
  </si>
  <si>
    <t>Return on Investment (ROI)</t>
  </si>
  <si>
    <t>Cap Rate (ROI)</t>
  </si>
  <si>
    <t xml:space="preserve">Mortgage Interest:  </t>
  </si>
  <si>
    <t>Annual Property Taxes</t>
  </si>
  <si>
    <t>Estimated Closing Costs</t>
  </si>
  <si>
    <t>Total Cash Outlay at Closing</t>
  </si>
  <si>
    <t xml:space="preserve">Year Built:  </t>
  </si>
  <si>
    <t xml:space="preserve">Property Type:  </t>
  </si>
  <si>
    <t xml:space="preserve">Parking:  </t>
  </si>
  <si>
    <t>Monthly Gross Income</t>
  </si>
  <si>
    <t>Annual Gross Income</t>
  </si>
  <si>
    <t>SUMMARY OF RETURNS with Maintenance &amp; Vacancy</t>
  </si>
  <si>
    <t>SUMMARY OF RETURNS after Fixed Costs</t>
  </si>
  <si>
    <t>Annual Vacancy Expense</t>
  </si>
  <si>
    <t>Annual Maintenance Expense</t>
  </si>
  <si>
    <t>Annual Property Insurance</t>
  </si>
  <si>
    <t>Annual HOA Dues</t>
  </si>
  <si>
    <t>Annual Management Fee</t>
  </si>
  <si>
    <t>PURCHASING THE PROPERTY</t>
  </si>
  <si>
    <t xml:space="preserve">Closing Costs:  </t>
  </si>
  <si>
    <t>SUMMARY OF DEAL</t>
  </si>
  <si>
    <t>INVESTMENT PROPERTY ANALYSIS</t>
  </si>
  <si>
    <t>Annual Net Income (NOI)</t>
  </si>
  <si>
    <t>1361 Barclay St</t>
  </si>
  <si>
    <t>How to Use the Rental Analyzer</t>
  </si>
  <si>
    <t>To use the Rental Analyzer, enter all your numbers into this "Deal Input" tab. Formulas will autopopluate and automatically calculate your results on the "Deal Analyzer for Rentals" tab.  White cells are editable cells.</t>
  </si>
  <si>
    <t xml:space="preserve">Loan to Value %:  </t>
  </si>
  <si>
    <t>To adjust numbers, make the changes on the "Deal Inputs" tab.  All data on this tab "Deal Analyzer for Rentals" will automatically adjust based on the numbers entered in the "Deal Inputs" tab. Only White cells are editable.</t>
  </si>
  <si>
    <t>Single-Family</t>
  </si>
  <si>
    <t>Deal Inputs</t>
  </si>
  <si>
    <t>Deal Analyzer for Rentals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</si>
</sst>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164" formatCode="&quot;$&quot;#,##0.00_);\(&quot;$&quot;#,##0.00\)"/>
    <numFmt numFmtId="165" formatCode="_(&quot;$&quot;* #,##0.00_);_(&quot;$&quot;* \(#,##0.00\);_(&quot;$&quot;* &quot;-&quot;??_);_(@_)"/>
    <numFmt numFmtId="166" formatCode="_(* #,##0.00_);_(* \(#,##0.00\);_(* &quot;-&quot;??_);_(@_)"/>
    <numFmt numFmtId="167" formatCode="_-* #,##0_-;\-* #,##0_-;_-* &quot;-&quot;_-;_-@_-"/>
    <numFmt numFmtId="168" formatCode="_-* #,##0.00_-;\-* #,##0.00_-;_-* &quot;-&quot;??_-;_-@_-"/>
    <numFmt numFmtId="169" formatCode="&quot;$&quot;#,##0.00"/>
    <numFmt numFmtId="170" formatCode="&quot;$&quot;#,##0"/>
    <numFmt numFmtId="171" formatCode="[$-409]mmmm\ d\,\ yyyy;@"/>
    <numFmt numFmtId="172" formatCode="_(&quot;$&quot;* #,##0_);_(&quot;$&quot;* \(#,##0\);_(&quot;$&quot;* &quot;-&quot;??_);_(@_)"/>
    <numFmt numFmtId="173" formatCode="&quot;£&quot;#,##0;\-&quot;£&quot;#,##0"/>
    <numFmt numFmtId="174" formatCode="#,##0.00;\-#,##0.00;&quot;-&quot;"/>
    <numFmt numFmtId="175" formatCode="#,##0%;\-#,##0%;&quot;- &quot;"/>
    <numFmt numFmtId="176" formatCode="#,##0.0%;\-#,##0.0%;&quot;- &quot;"/>
    <numFmt numFmtId="177" formatCode="#,##0.00%;\-#,##0.00%;&quot;- &quot;"/>
    <numFmt numFmtId="178" formatCode="#,##0;\-#,##0;&quot;-&quot;"/>
    <numFmt numFmtId="179" formatCode="#,##0.0;\-#,##0.0;&quot;-&quot;"/>
    <numFmt numFmtId="180" formatCode="0.000_)"/>
    <numFmt numFmtId="181" formatCode="0.00_)"/>
    <numFmt numFmtId="182" formatCode="[$-F800]dddd\,\ mmmm\ dd\,\ yyyy"/>
    <numFmt numFmtId="183" formatCode="0%;\(0%\)"/>
    <numFmt numFmtId="184" formatCode="\ \ @"/>
    <numFmt numFmtId="185" formatCode="\ \ \ \ @"/>
    <numFmt numFmtId="186" formatCode="m/d/yy;@"/>
  </numFmts>
  <fonts count="59">
    <font>
      <sz val="12"/>
      <color theme="1"/>
      <name val="Calibri"/>
      <family val="2"/>
      <scheme val="minor"/>
    </font>
    <font>
      <sz val="12"/>
      <color indexed="8"/>
      <name val="Calibri"/>
      <family val="2"/>
    </font>
    <font>
      <sz val="10"/>
      <color indexed="8"/>
      <name val="Arial"/>
      <family val="2"/>
    </font>
    <font>
      <sz val="10"/>
      <name val="Arial"/>
      <family val="2"/>
    </font>
    <font>
      <b/>
      <sz val="10"/>
      <name val="Arial"/>
      <family val="2"/>
    </font>
    <font>
      <b/>
      <sz val="12"/>
      <name val="Calibri"/>
    </font>
    <font>
      <b/>
      <sz val="14"/>
      <name val="Calibri"/>
    </font>
    <font>
      <sz val="12"/>
      <name val="Calibri"/>
    </font>
    <font>
      <b/>
      <sz val="16"/>
      <name val="Calibri"/>
    </font>
    <font>
      <sz val="16"/>
      <name val="Calibri"/>
    </font>
    <font>
      <b/>
      <sz val="28"/>
      <name val="Calibri"/>
    </font>
    <font>
      <sz val="28"/>
      <name val="Calibri"/>
    </font>
    <font>
      <sz val="8"/>
      <name val="Arial"/>
      <family val="2"/>
    </font>
    <font>
      <sz val="9"/>
      <color indexed="81"/>
      <name val="Arial"/>
      <family val="2"/>
    </font>
    <font>
      <sz val="11"/>
      <name val="Times"/>
      <family val="1"/>
    </font>
    <font>
      <sz val="10"/>
      <color indexed="12"/>
      <name val="Arial"/>
      <family val="2"/>
    </font>
    <font>
      <b/>
      <sz val="12"/>
      <name val="Arial"/>
      <family val="2"/>
    </font>
    <font>
      <u/>
      <sz val="8"/>
      <color indexed="12"/>
      <name val="Arial"/>
      <family val="2"/>
    </font>
    <font>
      <u/>
      <sz val="10"/>
      <color indexed="12"/>
      <name val="Verdana"/>
      <family val="2"/>
    </font>
    <font>
      <sz val="10"/>
      <color indexed="14"/>
      <name val="Arial"/>
      <family val="2"/>
    </font>
    <font>
      <b/>
      <i/>
      <sz val="16"/>
      <name val="Helv"/>
      <family val="2"/>
    </font>
    <font>
      <sz val="11"/>
      <color indexed="8"/>
      <name val="Calibri"/>
      <family val="2"/>
    </font>
    <font>
      <sz val="10"/>
      <color indexed="8"/>
      <name val="Calibri"/>
    </font>
    <font>
      <sz val="9"/>
      <color indexed="8"/>
      <name val="Calibri"/>
      <family val="2"/>
    </font>
    <font>
      <sz val="10"/>
      <color indexed="10"/>
      <name val="Arial"/>
      <family val="2"/>
    </font>
    <font>
      <sz val="9"/>
      <name val="Arial"/>
      <family val="2"/>
    </font>
    <font>
      <u/>
      <sz val="8.4"/>
      <color indexed="12"/>
      <name val="Arial"/>
      <family val="2"/>
    </font>
    <font>
      <b/>
      <sz val="26"/>
      <name val="Calibri (Body)"/>
    </font>
    <font>
      <b/>
      <sz val="10"/>
      <color indexed="81"/>
      <name val="Calibri"/>
    </font>
    <font>
      <b/>
      <sz val="12"/>
      <color theme="0"/>
      <name val="Calibri"/>
      <family val="2"/>
      <scheme val="minor"/>
    </font>
    <font>
      <b/>
      <sz val="12"/>
      <color theme="1"/>
      <name val="Calibri"/>
      <family val="2"/>
      <scheme val="minor"/>
    </font>
    <font>
      <b/>
      <sz val="28"/>
      <color theme="1"/>
      <name val="Calibri"/>
      <scheme val="minor"/>
    </font>
    <font>
      <b/>
      <sz val="10"/>
      <name val="Calibri"/>
      <scheme val="minor"/>
    </font>
    <font>
      <sz val="10"/>
      <name val="Calibri"/>
      <scheme val="minor"/>
    </font>
    <font>
      <b/>
      <sz val="26"/>
      <color theme="1"/>
      <name val="Calibri"/>
      <family val="2"/>
      <scheme val="minor"/>
    </font>
    <font>
      <sz val="26"/>
      <color theme="1"/>
      <name val="Calibri"/>
      <family val="2"/>
      <scheme val="minor"/>
    </font>
    <font>
      <sz val="12"/>
      <name val="Calibri"/>
      <scheme val="minor"/>
    </font>
    <font>
      <b/>
      <sz val="14"/>
      <name val="Calibri"/>
      <scheme val="minor"/>
    </font>
    <font>
      <sz val="13"/>
      <color theme="1"/>
      <name val="Calibri"/>
      <family val="2"/>
      <scheme val="minor"/>
    </font>
    <font>
      <sz val="14"/>
      <color theme="1"/>
      <name val="Calibri"/>
      <scheme val="minor"/>
    </font>
    <font>
      <sz val="13"/>
      <name val="Calibri"/>
      <family val="2"/>
      <scheme val="minor"/>
    </font>
    <font>
      <b/>
      <sz val="12"/>
      <name val="Calibri"/>
      <scheme val="minor"/>
    </font>
    <font>
      <b/>
      <sz val="11"/>
      <name val="Calibri"/>
      <scheme val="minor"/>
    </font>
    <font>
      <u/>
      <sz val="12"/>
      <color theme="10"/>
      <name val="Calibri"/>
      <family val="2"/>
      <scheme val="minor"/>
    </font>
    <font>
      <u/>
      <sz val="12"/>
      <color theme="11"/>
      <name val="Calibri"/>
      <family val="2"/>
      <scheme val="minor"/>
    </font>
    <font>
      <sz val="14"/>
      <name val="Calibri"/>
    </font>
    <font>
      <b/>
      <sz val="14"/>
      <name val="Arial"/>
      <family val="2"/>
    </font>
    <font>
      <sz val="14"/>
      <name val="Arial"/>
      <family val="2"/>
    </font>
    <font>
      <sz val="14"/>
      <name val="Calibri"/>
      <scheme val="minor"/>
    </font>
    <font>
      <b/>
      <sz val="16"/>
      <name val="Calibri"/>
      <scheme val="minor"/>
    </font>
    <font>
      <b/>
      <sz val="14"/>
      <color theme="0" tint="-4.9989318521683403E-2"/>
      <name val="Calibri"/>
      <scheme val="minor"/>
    </font>
    <font>
      <sz val="16"/>
      <name val="Calibri"/>
      <scheme val="minor"/>
    </font>
    <font>
      <b/>
      <sz val="28"/>
      <name val="Calibri"/>
      <scheme val="minor"/>
    </font>
    <font>
      <sz val="28"/>
      <name val="Calibri"/>
      <scheme val="minor"/>
    </font>
    <font>
      <b/>
      <sz val="22"/>
      <name val="Calibri"/>
      <scheme val="minor"/>
    </font>
    <font>
      <sz val="8"/>
      <name val="Calibri"/>
      <scheme val="minor"/>
    </font>
    <font>
      <b/>
      <sz val="30"/>
      <name val="Calibri"/>
      <scheme val="minor"/>
    </font>
    <font>
      <sz val="17"/>
      <color rgb="FF000000"/>
      <name val="Helvetica Neue"/>
    </font>
    <font>
      <b/>
      <sz val="14"/>
      <color rgb="FF000000"/>
      <name val="Calibri"/>
      <scheme val="minor"/>
    </font>
  </fonts>
  <fills count="9">
    <fill>
      <patternFill patternType="none"/>
    </fill>
    <fill>
      <patternFill patternType="gray125"/>
    </fill>
    <fill>
      <patternFill patternType="solid">
        <fgColor indexed="17"/>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theme="1" tint="4.9989318521683403E-2"/>
        <bgColor indexed="64"/>
      </patternFill>
    </fill>
  </fills>
  <borders count="58">
    <border>
      <left/>
      <right/>
      <top/>
      <bottom/>
      <diagonal/>
    </border>
    <border>
      <left/>
      <right/>
      <top style="medium">
        <color auto="1"/>
      </top>
      <bottom style="medium">
        <color auto="1"/>
      </bottom>
      <diagonal/>
    </border>
    <border>
      <left/>
      <right/>
      <top style="thin">
        <color auto="1"/>
      </top>
      <bottom style="thin">
        <color auto="1"/>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style="medium">
        <color theme="0" tint="-0.499984740745262"/>
      </right>
      <top/>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thick">
        <color theme="0" tint="-0.499984740745262"/>
      </left>
      <right/>
      <top/>
      <bottom/>
      <diagonal/>
    </border>
    <border>
      <left/>
      <right style="thick">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theme="0" tint="-0.499984740745262"/>
      </right>
      <top style="thin">
        <color theme="0" tint="-0.34998626667073579"/>
      </top>
      <bottom style="thin">
        <color theme="0" tint="-0.34998626667073579"/>
      </bottom>
      <diagonal/>
    </border>
    <border>
      <left style="medium">
        <color theme="0" tint="-0.499984740745262"/>
      </left>
      <right style="medium">
        <color theme="0" tint="-0.499984740745262"/>
      </right>
      <top/>
      <bottom/>
      <diagonal/>
    </border>
    <border>
      <left style="medium">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thick">
        <color theme="0" tint="-0.499984740745262"/>
      </left>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right style="thick">
        <color theme="0" tint="-0.499984740745262"/>
      </right>
      <top style="thick">
        <color theme="0" tint="-0.499984740745262"/>
      </top>
      <bottom style="thick">
        <color theme="0" tint="-0.499984740745262"/>
      </bottom>
      <diagonal/>
    </border>
    <border>
      <left style="thick">
        <color theme="0" tint="-0.499984740745262"/>
      </left>
      <right/>
      <top style="medium">
        <color theme="0" tint="-0.499984740745262"/>
      </top>
      <bottom style="medium">
        <color theme="0" tint="-0.499984740745262"/>
      </bottom>
      <diagonal/>
    </border>
    <border>
      <left/>
      <right style="thick">
        <color theme="0" tint="-0.499984740745262"/>
      </right>
      <top style="medium">
        <color theme="0" tint="-0.499984740745262"/>
      </top>
      <bottom style="medium">
        <color theme="0" tint="-0.499984740745262"/>
      </bottom>
      <diagonal/>
    </border>
    <border>
      <left style="thick">
        <color theme="0" tint="-0.499984740745262"/>
      </left>
      <right/>
      <top style="medium">
        <color theme="0" tint="-0.499984740745262"/>
      </top>
      <bottom/>
      <diagonal/>
    </border>
    <border>
      <left style="thick">
        <color theme="0" tint="-0.499984740745262"/>
      </left>
      <right/>
      <top/>
      <bottom style="medium">
        <color theme="0" tint="-0.499984740745262"/>
      </bottom>
      <diagonal/>
    </border>
    <border>
      <left/>
      <right style="thick">
        <color theme="0" tint="-0.499984740745262"/>
      </right>
      <top/>
      <bottom style="medium">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72">
    <xf numFmtId="0" fontId="0" fillId="0" borderId="0"/>
    <xf numFmtId="0" fontId="3" fillId="0" borderId="0"/>
    <xf numFmtId="173" fontId="3" fillId="0" borderId="0" applyFill="0" applyBorder="0" applyAlignment="0"/>
    <xf numFmtId="174" fontId="2" fillId="0" borderId="0" applyFill="0" applyBorder="0" applyAlignment="0"/>
    <xf numFmtId="175" fontId="2" fillId="0" borderId="0" applyFill="0" applyBorder="0" applyAlignment="0"/>
    <xf numFmtId="176" fontId="2" fillId="0" borderId="0" applyFill="0" applyBorder="0" applyAlignment="0"/>
    <xf numFmtId="177" fontId="2" fillId="0" borderId="0" applyFill="0" applyBorder="0" applyAlignment="0"/>
    <xf numFmtId="178" fontId="2" fillId="0" borderId="0" applyFill="0" applyBorder="0" applyAlignment="0"/>
    <xf numFmtId="179" fontId="2" fillId="0" borderId="0" applyFill="0" applyBorder="0" applyAlignment="0"/>
    <xf numFmtId="174" fontId="2" fillId="0" borderId="0" applyFill="0" applyBorder="0" applyAlignment="0"/>
    <xf numFmtId="180" fontId="14" fillId="0" borderId="0"/>
    <xf numFmtId="180" fontId="14" fillId="0" borderId="0"/>
    <xf numFmtId="180" fontId="14" fillId="0" borderId="0"/>
    <xf numFmtId="180" fontId="14" fillId="0" borderId="0"/>
    <xf numFmtId="180" fontId="14" fillId="0" borderId="0"/>
    <xf numFmtId="180" fontId="14" fillId="0" borderId="0"/>
    <xf numFmtId="180" fontId="14" fillId="0" borderId="0"/>
    <xf numFmtId="180" fontId="14" fillId="0" borderId="0"/>
    <xf numFmtId="178" fontId="3" fillId="0" borderId="0" applyFont="0" applyFill="0" applyBorder="0" applyAlignment="0" applyProtection="0"/>
    <xf numFmtId="166" fontId="3" fillId="0" borderId="0" applyFont="0" applyFill="0" applyBorder="0" applyAlignment="0" applyProtection="0"/>
    <xf numFmtId="174" fontId="3" fillId="0" borderId="0" applyFont="0" applyFill="0" applyBorder="0" applyAlignment="0" applyProtection="0"/>
    <xf numFmtId="165" fontId="3" fillId="0" borderId="0" applyFont="0" applyFill="0" applyBorder="0" applyAlignment="0" applyProtection="0"/>
    <xf numFmtId="14" fontId="2" fillId="0" borderId="0" applyFill="0" applyBorder="0" applyAlignment="0"/>
    <xf numFmtId="178" fontId="15" fillId="0" borderId="0" applyFill="0" applyBorder="0" applyAlignment="0"/>
    <xf numFmtId="174" fontId="15" fillId="0" borderId="0" applyFill="0" applyBorder="0" applyAlignment="0"/>
    <xf numFmtId="178" fontId="15" fillId="0" borderId="0" applyFill="0" applyBorder="0" applyAlignment="0"/>
    <xf numFmtId="179" fontId="15" fillId="0" borderId="0" applyFill="0" applyBorder="0" applyAlignment="0"/>
    <xf numFmtId="174" fontId="15" fillId="0" borderId="0" applyFill="0" applyBorder="0" applyAlignment="0"/>
    <xf numFmtId="0" fontId="16" fillId="0" borderId="1" applyNumberFormat="0" applyAlignment="0" applyProtection="0">
      <alignment horizontal="left" vertical="center"/>
    </xf>
    <xf numFmtId="0" fontId="16" fillId="0" borderId="2">
      <alignment horizontal="left" vertical="center"/>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178" fontId="19" fillId="0" borderId="0" applyFill="0" applyBorder="0" applyAlignment="0"/>
    <xf numFmtId="174" fontId="19" fillId="0" borderId="0" applyFill="0" applyBorder="0" applyAlignment="0"/>
    <xf numFmtId="178" fontId="19" fillId="0" borderId="0" applyFill="0" applyBorder="0" applyAlignment="0"/>
    <xf numFmtId="179" fontId="19" fillId="0" borderId="0" applyFill="0" applyBorder="0" applyAlignment="0"/>
    <xf numFmtId="174" fontId="19" fillId="0" borderId="0" applyFill="0" applyBorder="0" applyAlignment="0"/>
    <xf numFmtId="181" fontId="20" fillId="0" borderId="0"/>
    <xf numFmtId="0" fontId="3" fillId="0" borderId="0"/>
    <xf numFmtId="0" fontId="21" fillId="0" borderId="0"/>
    <xf numFmtId="0" fontId="3" fillId="0" borderId="0"/>
    <xf numFmtId="0" fontId="1" fillId="0" borderId="0"/>
    <xf numFmtId="0" fontId="12" fillId="0" borderId="0"/>
    <xf numFmtId="0" fontId="3" fillId="0" borderId="0"/>
    <xf numFmtId="0" fontId="22" fillId="0" borderId="0"/>
    <xf numFmtId="0" fontId="3" fillId="0" borderId="0" applyNumberFormat="0" applyFont="0" applyFill="0" applyBorder="0" applyAlignment="0" applyProtection="0"/>
    <xf numFmtId="0" fontId="23" fillId="0" borderId="0"/>
    <xf numFmtId="0" fontId="3" fillId="0" borderId="0"/>
    <xf numFmtId="182" fontId="21" fillId="0" borderId="0"/>
    <xf numFmtId="177" fontId="3" fillId="0" borderId="0" applyFont="0" applyFill="0" applyBorder="0" applyAlignment="0" applyProtection="0"/>
    <xf numFmtId="18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8" fontId="24" fillId="0" borderId="0" applyFill="0" applyBorder="0" applyAlignment="0"/>
    <xf numFmtId="174" fontId="24" fillId="0" borderId="0" applyFill="0" applyBorder="0" applyAlignment="0"/>
    <xf numFmtId="178" fontId="24" fillId="0" borderId="0" applyFill="0" applyBorder="0" applyAlignment="0"/>
    <xf numFmtId="179" fontId="24" fillId="0" borderId="0" applyFill="0" applyBorder="0" applyAlignment="0"/>
    <xf numFmtId="174" fontId="24" fillId="0" borderId="0" applyFill="0" applyBorder="0" applyAlignment="0"/>
    <xf numFmtId="0" fontId="25" fillId="0" borderId="0" applyBorder="0"/>
    <xf numFmtId="0" fontId="2" fillId="0" borderId="0">
      <alignment vertical="top"/>
    </xf>
    <xf numFmtId="49" fontId="2" fillId="0" borderId="0" applyFill="0" applyBorder="0" applyAlignment="0"/>
    <xf numFmtId="184" fontId="2" fillId="0" borderId="0" applyFill="0" applyBorder="0" applyAlignment="0"/>
    <xf numFmtId="185" fontId="2" fillId="0" borderId="0" applyFill="0" applyBorder="0" applyAlignment="0"/>
    <xf numFmtId="167" fontId="3" fillId="0" borderId="0" applyFont="0" applyFill="0" applyBorder="0" applyAlignment="0" applyProtection="0"/>
    <xf numFmtId="168" fontId="3" fillId="0" borderId="0" applyFont="0" applyFill="0" applyBorder="0" applyAlignment="0" applyProtection="0"/>
    <xf numFmtId="0" fontId="26" fillId="0" borderId="0" applyNumberFormat="0" applyFill="0" applyBorder="0" applyAlignment="0" applyProtection="0">
      <alignment vertical="top"/>
      <protection locked="0"/>
    </xf>
    <xf numFmtId="0" fontId="43" fillId="0" borderId="0" applyNumberFormat="0" applyFill="0" applyBorder="0" applyAlignment="0" applyProtection="0"/>
    <xf numFmtId="0" fontId="44" fillId="0" borderId="0" applyNumberFormat="0" applyFill="0" applyBorder="0" applyAlignment="0" applyProtection="0"/>
  </cellStyleXfs>
  <cellXfs count="267">
    <xf numFmtId="0" fontId="0" fillId="0" borderId="0" xfId="0"/>
    <xf numFmtId="0" fontId="0" fillId="0" borderId="0" xfId="0" applyBorder="1" applyProtection="1"/>
    <xf numFmtId="0" fontId="31" fillId="0" borderId="0" xfId="0" applyFont="1" applyFill="1" applyBorder="1" applyAlignment="1" applyProtection="1">
      <alignment vertical="center"/>
    </xf>
    <xf numFmtId="0" fontId="0" fillId="0" borderId="0" xfId="0" applyFill="1" applyBorder="1" applyProtection="1"/>
    <xf numFmtId="0" fontId="0" fillId="3" borderId="0" xfId="0" applyFill="1" applyBorder="1" applyProtection="1"/>
    <xf numFmtId="0" fontId="4" fillId="0" borderId="0" xfId="40" applyFont="1" applyBorder="1" applyAlignment="1">
      <alignment vertical="center"/>
    </xf>
    <xf numFmtId="0" fontId="4" fillId="0" borderId="0" xfId="40" applyFont="1" applyFill="1" applyBorder="1" applyAlignment="1">
      <alignment vertical="center"/>
    </xf>
    <xf numFmtId="0" fontId="32" fillId="4" borderId="4" xfId="40" applyFont="1" applyFill="1" applyBorder="1" applyAlignment="1" applyProtection="1">
      <alignment horizontal="right" vertical="center"/>
      <protection locked="0"/>
    </xf>
    <xf numFmtId="0" fontId="33" fillId="4" borderId="4" xfId="40" applyNumberFormat="1" applyFont="1" applyFill="1" applyBorder="1" applyAlignment="1" applyProtection="1">
      <alignment horizontal="center" vertical="center"/>
      <protection locked="0"/>
    </xf>
    <xf numFmtId="14" fontId="33" fillId="4" borderId="4" xfId="19" applyNumberFormat="1" applyFont="1" applyFill="1" applyBorder="1" applyAlignment="1" applyProtection="1">
      <alignment horizontal="center" vertical="center"/>
      <protection locked="0"/>
    </xf>
    <xf numFmtId="0" fontId="4" fillId="2" borderId="0" xfId="40" applyFont="1" applyFill="1" applyBorder="1" applyAlignment="1" applyProtection="1">
      <alignment horizontal="center" vertical="center"/>
      <protection hidden="1"/>
    </xf>
    <xf numFmtId="0" fontId="5" fillId="0" borderId="0" xfId="40" applyFont="1" applyFill="1" applyBorder="1" applyAlignment="1">
      <alignment vertical="center"/>
    </xf>
    <xf numFmtId="0" fontId="5" fillId="0" borderId="0" xfId="40" applyFont="1" applyBorder="1" applyAlignment="1">
      <alignment vertical="center"/>
    </xf>
    <xf numFmtId="0" fontId="7" fillId="0" borderId="0" xfId="40" applyFont="1" applyFill="1" applyBorder="1" applyAlignment="1">
      <alignment vertical="center" wrapText="1" shrinkToFit="1"/>
    </xf>
    <xf numFmtId="0" fontId="35" fillId="0" borderId="0" xfId="0" applyFont="1" applyFill="1" applyBorder="1" applyAlignment="1">
      <alignment horizontal="center" vertical="center"/>
    </xf>
    <xf numFmtId="0" fontId="9" fillId="0" borderId="0" xfId="40" applyFont="1" applyFill="1" applyBorder="1" applyAlignment="1">
      <alignment vertical="center" wrapText="1" shrinkToFit="1"/>
    </xf>
    <xf numFmtId="0" fontId="8" fillId="0" borderId="0" xfId="40" applyFont="1" applyFill="1" applyBorder="1" applyAlignment="1">
      <alignment vertical="center"/>
    </xf>
    <xf numFmtId="0" fontId="8" fillId="0" borderId="0" xfId="40" applyFont="1" applyBorder="1" applyAlignment="1">
      <alignment vertical="center"/>
    </xf>
    <xf numFmtId="0" fontId="11" fillId="0" borderId="0" xfId="40" applyFont="1" applyFill="1" applyBorder="1" applyAlignment="1">
      <alignment vertical="center" wrapText="1" shrinkToFit="1"/>
    </xf>
    <xf numFmtId="0" fontId="10" fillId="0" borderId="0" xfId="40" applyFont="1" applyFill="1" applyBorder="1" applyAlignment="1">
      <alignment vertical="center"/>
    </xf>
    <xf numFmtId="0" fontId="10" fillId="0" borderId="0" xfId="40" applyFont="1" applyBorder="1" applyAlignment="1">
      <alignment vertical="center"/>
    </xf>
    <xf numFmtId="0" fontId="4" fillId="0" borderId="0" xfId="40" applyFont="1" applyBorder="1"/>
    <xf numFmtId="0" fontId="4" fillId="0" borderId="0" xfId="40" applyFont="1" applyBorder="1" applyAlignment="1"/>
    <xf numFmtId="172" fontId="12" fillId="0" borderId="0" xfId="40" applyNumberFormat="1" applyFont="1" applyBorder="1" applyAlignment="1">
      <alignment wrapText="1" shrinkToFit="1"/>
    </xf>
    <xf numFmtId="0" fontId="4" fillId="0" borderId="0" xfId="40" applyFont="1" applyFill="1" applyBorder="1"/>
    <xf numFmtId="0" fontId="4" fillId="0" borderId="0" xfId="40" applyFont="1" applyFill="1" applyBorder="1" applyAlignment="1"/>
    <xf numFmtId="0" fontId="4" fillId="0" borderId="0" xfId="40" applyFont="1" applyBorder="1" applyAlignment="1">
      <alignment horizontal="left"/>
    </xf>
    <xf numFmtId="0" fontId="12" fillId="0" borderId="0" xfId="40" applyFont="1" applyBorder="1" applyAlignment="1">
      <alignment wrapText="1" shrinkToFit="1"/>
    </xf>
    <xf numFmtId="172" fontId="4" fillId="0" borderId="0" xfId="40" applyNumberFormat="1" applyFont="1" applyFill="1" applyBorder="1"/>
    <xf numFmtId="0" fontId="12" fillId="0" borderId="0" xfId="40" applyFont="1" applyFill="1" applyBorder="1" applyAlignment="1">
      <alignment wrapText="1" shrinkToFit="1"/>
    </xf>
    <xf numFmtId="0" fontId="31" fillId="3" borderId="0" xfId="0" applyFont="1" applyFill="1" applyBorder="1" applyAlignment="1" applyProtection="1">
      <alignment vertical="center"/>
      <protection locked="0"/>
    </xf>
    <xf numFmtId="0" fontId="0" fillId="3" borderId="0" xfId="0" applyFill="1" applyBorder="1" applyProtection="1">
      <protection locked="0"/>
    </xf>
    <xf numFmtId="0" fontId="0" fillId="0" borderId="0" xfId="0" applyFill="1" applyBorder="1" applyProtection="1">
      <protection locked="0"/>
    </xf>
    <xf numFmtId="0" fontId="0" fillId="0" borderId="0" xfId="0" applyBorder="1" applyProtection="1">
      <protection locked="0"/>
    </xf>
    <xf numFmtId="0" fontId="0" fillId="0" borderId="0" xfId="0" applyFill="1" applyProtection="1">
      <protection locked="0"/>
    </xf>
    <xf numFmtId="0" fontId="0" fillId="0" borderId="0" xfId="0" applyProtection="1">
      <protection locked="0"/>
    </xf>
    <xf numFmtId="0" fontId="27" fillId="0" borderId="0" xfId="0" applyFont="1" applyFill="1" applyBorder="1" applyAlignment="1">
      <alignment horizontal="center" vertical="center"/>
    </xf>
    <xf numFmtId="0" fontId="27" fillId="0" borderId="0" xfId="0" applyFont="1" applyFill="1" applyBorder="1" applyAlignment="1">
      <alignment vertical="center"/>
    </xf>
    <xf numFmtId="0" fontId="36" fillId="0" borderId="0" xfId="0" applyFont="1" applyFill="1" applyBorder="1"/>
    <xf numFmtId="0" fontId="4" fillId="0" borderId="0" xfId="40" applyFont="1" applyFill="1" applyBorder="1" applyAlignment="1" applyProtection="1">
      <alignment horizontal="center" vertical="center"/>
      <protection hidden="1"/>
    </xf>
    <xf numFmtId="0" fontId="0" fillId="4" borderId="11" xfId="0" applyFill="1" applyBorder="1"/>
    <xf numFmtId="0" fontId="0" fillId="4" borderId="12" xfId="0" applyFill="1" applyBorder="1"/>
    <xf numFmtId="0" fontId="0" fillId="4" borderId="13" xfId="0" applyFill="1" applyBorder="1"/>
    <xf numFmtId="0" fontId="0" fillId="3" borderId="0" xfId="0" applyFill="1"/>
    <xf numFmtId="0" fontId="0" fillId="4" borderId="17" xfId="0" applyFill="1" applyBorder="1"/>
    <xf numFmtId="0" fontId="0" fillId="4" borderId="6" xfId="0" applyFill="1" applyBorder="1"/>
    <xf numFmtId="0" fontId="0" fillId="4" borderId="18" xfId="0" applyFill="1" applyBorder="1"/>
    <xf numFmtId="0" fontId="30" fillId="3" borderId="0" xfId="40" applyFont="1" applyFill="1" applyBorder="1" applyAlignment="1" applyProtection="1">
      <alignment vertical="center"/>
      <protection locked="0"/>
    </xf>
    <xf numFmtId="0" fontId="30" fillId="5" borderId="6" xfId="0" applyFont="1" applyFill="1" applyBorder="1" applyAlignment="1">
      <alignment horizontal="right" vertical="center"/>
    </xf>
    <xf numFmtId="0" fontId="0" fillId="4" borderId="6" xfId="0" applyFill="1" applyBorder="1" applyAlignment="1">
      <alignment horizontal="center"/>
    </xf>
    <xf numFmtId="0" fontId="30" fillId="5" borderId="25" xfId="0" applyFont="1" applyFill="1" applyBorder="1" applyAlignment="1">
      <alignment horizontal="right" vertical="center"/>
    </xf>
    <xf numFmtId="0" fontId="30" fillId="5" borderId="32" xfId="0" applyFont="1" applyFill="1" applyBorder="1" applyAlignment="1">
      <alignment horizontal="right" vertical="center"/>
    </xf>
    <xf numFmtId="0" fontId="0" fillId="3" borderId="0" xfId="0" applyFill="1" applyBorder="1"/>
    <xf numFmtId="0" fontId="30" fillId="5" borderId="19" xfId="0" applyFont="1" applyFill="1" applyBorder="1" applyAlignment="1">
      <alignment horizontal="right" vertical="center"/>
    </xf>
    <xf numFmtId="0" fontId="30" fillId="5" borderId="36" xfId="0" applyFont="1" applyFill="1" applyBorder="1" applyAlignment="1">
      <alignment horizontal="right" vertical="center"/>
    </xf>
    <xf numFmtId="0" fontId="0" fillId="4" borderId="17" xfId="0" applyFill="1" applyBorder="1" applyAlignment="1">
      <alignment horizontal="center"/>
    </xf>
    <xf numFmtId="0" fontId="0" fillId="4" borderId="0" xfId="0" applyFill="1" applyBorder="1" applyAlignment="1">
      <alignment horizontal="center"/>
    </xf>
    <xf numFmtId="0" fontId="30" fillId="4" borderId="0" xfId="0" applyFont="1" applyFill="1" applyBorder="1" applyAlignment="1">
      <alignment horizontal="center"/>
    </xf>
    <xf numFmtId="0" fontId="30" fillId="3" borderId="0" xfId="40" applyNumberFormat="1" applyFont="1" applyFill="1" applyBorder="1" applyAlignment="1" applyProtection="1">
      <alignment vertical="center"/>
      <protection locked="0"/>
    </xf>
    <xf numFmtId="0" fontId="0" fillId="4" borderId="0" xfId="0" applyFill="1" applyBorder="1" applyAlignment="1">
      <alignment vertical="center"/>
    </xf>
    <xf numFmtId="0" fontId="30" fillId="5" borderId="25" xfId="40" applyFont="1" applyFill="1" applyBorder="1" applyAlignment="1" applyProtection="1">
      <alignment horizontal="right" vertical="center"/>
      <protection locked="0"/>
    </xf>
    <xf numFmtId="9" fontId="40" fillId="0" borderId="35" xfId="53" applyNumberFormat="1" applyFont="1" applyFill="1" applyBorder="1" applyAlignment="1" applyProtection="1">
      <alignment horizontal="center" vertical="center"/>
      <protection locked="0"/>
    </xf>
    <xf numFmtId="9" fontId="36" fillId="4" borderId="0" xfId="53" applyNumberFormat="1" applyFont="1" applyFill="1" applyBorder="1" applyAlignment="1" applyProtection="1">
      <alignment horizontal="center" vertical="center"/>
      <protection locked="0"/>
    </xf>
    <xf numFmtId="0" fontId="30" fillId="0" borderId="0" xfId="0" applyFont="1" applyFill="1" applyBorder="1" applyAlignment="1"/>
    <xf numFmtId="0" fontId="30" fillId="5" borderId="32" xfId="40" applyFont="1" applyFill="1" applyBorder="1" applyAlignment="1" applyProtection="1">
      <alignment horizontal="right" vertical="center"/>
      <protection locked="0"/>
    </xf>
    <xf numFmtId="1" fontId="40" fillId="0" borderId="35" xfId="19" applyNumberFormat="1" applyFont="1" applyFill="1" applyBorder="1" applyAlignment="1" applyProtection="1">
      <alignment horizontal="center" vertical="center"/>
      <protection locked="0"/>
    </xf>
    <xf numFmtId="1" fontId="36" fillId="4" borderId="0" xfId="19" applyNumberFormat="1" applyFont="1" applyFill="1" applyBorder="1" applyAlignment="1" applyProtection="1">
      <alignment horizontal="center" vertical="center"/>
      <protection locked="0"/>
    </xf>
    <xf numFmtId="0" fontId="41" fillId="5" borderId="32" xfId="40" applyFont="1" applyFill="1" applyBorder="1" applyAlignment="1" applyProtection="1">
      <alignment horizontal="right" vertical="center"/>
      <protection locked="0"/>
    </xf>
    <xf numFmtId="10" fontId="40" fillId="0" borderId="39" xfId="53" applyNumberFormat="1" applyFont="1" applyFill="1" applyBorder="1" applyAlignment="1" applyProtection="1">
      <alignment horizontal="center" vertical="center"/>
      <protection locked="0"/>
    </xf>
    <xf numFmtId="10" fontId="36" fillId="4" borderId="0" xfId="53" applyNumberFormat="1" applyFont="1" applyFill="1" applyBorder="1" applyAlignment="1" applyProtection="1">
      <alignment horizontal="center" vertical="center"/>
      <protection locked="0"/>
    </xf>
    <xf numFmtId="169" fontId="0" fillId="4" borderId="0" xfId="0" applyNumberFormat="1" applyFill="1" applyBorder="1" applyAlignment="1">
      <alignment vertical="center"/>
    </xf>
    <xf numFmtId="0" fontId="0" fillId="4" borderId="14" xfId="0" applyFill="1" applyBorder="1"/>
    <xf numFmtId="0" fontId="0" fillId="4" borderId="15" xfId="0" applyFill="1" applyBorder="1"/>
    <xf numFmtId="0" fontId="0" fillId="4" borderId="16" xfId="0" applyFill="1" applyBorder="1"/>
    <xf numFmtId="0" fontId="0" fillId="0" borderId="0" xfId="0" applyFill="1" applyBorder="1"/>
    <xf numFmtId="0" fontId="0" fillId="0" borderId="0" xfId="0" applyFill="1"/>
    <xf numFmtId="0" fontId="0" fillId="0" borderId="0" xfId="0" applyFill="1" applyBorder="1" applyAlignment="1">
      <alignment vertical="center" wrapText="1"/>
    </xf>
    <xf numFmtId="0" fontId="29" fillId="3" borderId="0" xfId="40" applyFont="1" applyFill="1" applyBorder="1" applyAlignment="1" applyProtection="1">
      <alignment horizontal="center" vertical="center"/>
      <protection locked="0"/>
    </xf>
    <xf numFmtId="0" fontId="41" fillId="5" borderId="36" xfId="40" applyFont="1" applyFill="1" applyBorder="1" applyAlignment="1" applyProtection="1">
      <alignment horizontal="right" vertical="center"/>
      <protection locked="0"/>
    </xf>
    <xf numFmtId="0" fontId="30" fillId="4" borderId="0" xfId="40" applyFont="1" applyFill="1" applyBorder="1" applyAlignment="1" applyProtection="1">
      <alignment horizontal="right" vertical="center"/>
      <protection locked="0"/>
    </xf>
    <xf numFmtId="9" fontId="40" fillId="4" borderId="0" xfId="53" applyNumberFormat="1" applyFont="1" applyFill="1" applyBorder="1" applyAlignment="1" applyProtection="1">
      <alignment horizontal="center" vertical="center"/>
      <protection locked="0"/>
    </xf>
    <xf numFmtId="1" fontId="40" fillId="4" borderId="0" xfId="19" applyNumberFormat="1" applyFont="1" applyFill="1" applyBorder="1" applyAlignment="1" applyProtection="1">
      <alignment horizontal="center" vertical="center"/>
      <protection locked="0"/>
    </xf>
    <xf numFmtId="0" fontId="37" fillId="4" borderId="18" xfId="0" applyFont="1" applyFill="1" applyBorder="1" applyAlignment="1">
      <alignment vertical="center"/>
    </xf>
    <xf numFmtId="9" fontId="40" fillId="4" borderId="18" xfId="53" applyNumberFormat="1" applyFont="1" applyFill="1" applyBorder="1" applyAlignment="1" applyProtection="1">
      <alignment horizontal="center" vertical="center"/>
      <protection locked="0"/>
    </xf>
    <xf numFmtId="1" fontId="40" fillId="4" borderId="18" xfId="19" applyNumberFormat="1" applyFont="1" applyFill="1" applyBorder="1" applyAlignment="1" applyProtection="1">
      <alignment horizontal="center" vertical="center"/>
      <protection locked="0"/>
    </xf>
    <xf numFmtId="9" fontId="40" fillId="0" borderId="35" xfId="19" applyNumberFormat="1" applyFont="1" applyFill="1" applyBorder="1" applyAlignment="1" applyProtection="1">
      <alignment horizontal="center" vertical="center"/>
      <protection locked="0"/>
    </xf>
    <xf numFmtId="9" fontId="40" fillId="0" borderId="39" xfId="53" applyNumberFormat="1" applyFont="1" applyFill="1" applyBorder="1" applyAlignment="1" applyProtection="1">
      <alignment horizontal="center" vertical="center"/>
      <protection locked="0"/>
    </xf>
    <xf numFmtId="0" fontId="41" fillId="4" borderId="0" xfId="40" applyFont="1" applyFill="1" applyBorder="1" applyAlignment="1" applyProtection="1">
      <alignment horizontal="right" vertical="center"/>
      <protection locked="0"/>
    </xf>
    <xf numFmtId="0" fontId="41" fillId="5" borderId="40" xfId="40" applyFont="1" applyFill="1" applyBorder="1" applyAlignment="1" applyProtection="1">
      <alignment horizontal="right" vertical="center"/>
      <protection locked="0"/>
    </xf>
    <xf numFmtId="164" fontId="40" fillId="0" borderId="9" xfId="53" applyNumberFormat="1" applyFont="1" applyFill="1" applyBorder="1" applyAlignment="1" applyProtection="1">
      <alignment horizontal="center" vertical="center"/>
      <protection locked="0"/>
    </xf>
    <xf numFmtId="0" fontId="30" fillId="5" borderId="36" xfId="40" applyFont="1" applyFill="1" applyBorder="1" applyAlignment="1">
      <alignment horizontal="right" vertical="center"/>
    </xf>
    <xf numFmtId="0" fontId="7" fillId="0" borderId="0" xfId="40" applyFont="1" applyFill="1" applyBorder="1" applyAlignment="1" applyProtection="1">
      <alignment horizontal="left" vertical="center"/>
      <protection locked="0"/>
    </xf>
    <xf numFmtId="0" fontId="0" fillId="4" borderId="0" xfId="0" applyFill="1"/>
    <xf numFmtId="0" fontId="45" fillId="0" borderId="0" xfId="40" applyFont="1" applyFill="1" applyBorder="1" applyAlignment="1">
      <alignment wrapText="1" shrinkToFit="1"/>
    </xf>
    <xf numFmtId="0" fontId="6" fillId="0" borderId="0" xfId="40" applyFont="1" applyFill="1" applyBorder="1" applyAlignment="1"/>
    <xf numFmtId="0" fontId="6" fillId="0" borderId="0" xfId="40" applyFont="1" applyBorder="1" applyAlignment="1"/>
    <xf numFmtId="0" fontId="47" fillId="0" borderId="0" xfId="40" applyFont="1" applyFill="1" applyBorder="1" applyAlignment="1">
      <alignment wrapText="1" shrinkToFit="1"/>
    </xf>
    <xf numFmtId="0" fontId="46" fillId="0" borderId="0" xfId="40" applyFont="1" applyFill="1" applyBorder="1" applyAlignment="1"/>
    <xf numFmtId="0" fontId="46" fillId="0" borderId="0" xfId="40" applyFont="1" applyBorder="1" applyAlignment="1"/>
    <xf numFmtId="0" fontId="37" fillId="5" borderId="45" xfId="40" applyFont="1" applyFill="1" applyBorder="1" applyAlignment="1">
      <alignment horizontal="left" vertical="center"/>
    </xf>
    <xf numFmtId="0" fontId="37" fillId="5" borderId="8" xfId="40" applyFont="1" applyFill="1" applyBorder="1" applyAlignment="1">
      <alignment vertical="center"/>
    </xf>
    <xf numFmtId="0" fontId="37" fillId="5" borderId="46" xfId="40" applyFont="1" applyFill="1" applyBorder="1" applyAlignment="1">
      <alignment vertical="center"/>
    </xf>
    <xf numFmtId="0" fontId="41" fillId="4" borderId="0" xfId="40" applyFont="1" applyFill="1" applyBorder="1" applyAlignment="1">
      <alignment horizontal="center" vertical="center"/>
    </xf>
    <xf numFmtId="170" fontId="37" fillId="4" borderId="0" xfId="40" applyNumberFormat="1" applyFont="1" applyFill="1" applyBorder="1" applyAlignment="1"/>
    <xf numFmtId="169" fontId="37" fillId="4" borderId="18" xfId="40" applyNumberFormat="1" applyFont="1" applyFill="1" applyBorder="1" applyAlignment="1" applyProtection="1">
      <alignment horizontal="right"/>
    </xf>
    <xf numFmtId="10" fontId="37" fillId="4" borderId="49" xfId="40" applyNumberFormat="1" applyFont="1" applyFill="1" applyBorder="1" applyAlignment="1" applyProtection="1"/>
    <xf numFmtId="0" fontId="36" fillId="4" borderId="17" xfId="40" applyFont="1" applyFill="1" applyBorder="1" applyAlignment="1">
      <alignment vertical="center"/>
    </xf>
    <xf numFmtId="0" fontId="36" fillId="4" borderId="0" xfId="40" applyFont="1" applyFill="1" applyBorder="1" applyAlignment="1">
      <alignment vertical="center"/>
    </xf>
    <xf numFmtId="170" fontId="37" fillId="4" borderId="18" xfId="40" applyNumberFormat="1" applyFont="1" applyFill="1" applyBorder="1" applyAlignment="1" applyProtection="1">
      <alignment vertical="center"/>
    </xf>
    <xf numFmtId="170" fontId="41" fillId="4" borderId="0" xfId="40" applyNumberFormat="1" applyFont="1" applyFill="1" applyBorder="1" applyAlignment="1">
      <alignment vertical="center"/>
    </xf>
    <xf numFmtId="0" fontId="48" fillId="4" borderId="17" xfId="40" applyFont="1" applyFill="1" applyBorder="1" applyAlignment="1">
      <alignment vertical="center"/>
    </xf>
    <xf numFmtId="0" fontId="48" fillId="4" borderId="0" xfId="40" applyFont="1" applyFill="1" applyBorder="1" applyAlignment="1">
      <alignment vertical="center"/>
    </xf>
    <xf numFmtId="0" fontId="41" fillId="4" borderId="17" xfId="40" applyFont="1" applyFill="1" applyBorder="1" applyAlignment="1">
      <alignment vertical="center"/>
    </xf>
    <xf numFmtId="0" fontId="41" fillId="4" borderId="0" xfId="40" applyFont="1" applyFill="1" applyBorder="1" applyAlignment="1">
      <alignment vertical="center"/>
    </xf>
    <xf numFmtId="0" fontId="37" fillId="4" borderId="18" xfId="40" applyFont="1" applyFill="1" applyBorder="1" applyAlignment="1">
      <alignment vertical="center"/>
    </xf>
    <xf numFmtId="0" fontId="37" fillId="4" borderId="0" xfId="40" applyFont="1" applyFill="1" applyBorder="1" applyAlignment="1"/>
    <xf numFmtId="165" fontId="37" fillId="4" borderId="0" xfId="21" applyFont="1" applyFill="1" applyBorder="1" applyAlignment="1"/>
    <xf numFmtId="170" fontId="40" fillId="0" borderId="35" xfId="19" applyNumberFormat="1" applyFont="1" applyFill="1" applyBorder="1" applyAlignment="1" applyProtection="1">
      <alignment horizontal="center" vertical="center"/>
      <protection locked="0"/>
    </xf>
    <xf numFmtId="10" fontId="37" fillId="4" borderId="49" xfId="40" applyNumberFormat="1" applyFont="1" applyFill="1" applyBorder="1" applyAlignment="1" applyProtection="1">
      <alignment horizontal="right"/>
    </xf>
    <xf numFmtId="10" fontId="37" fillId="4" borderId="18" xfId="40" applyNumberFormat="1" applyFont="1" applyFill="1" applyBorder="1" applyAlignment="1" applyProtection="1">
      <alignment horizontal="right"/>
    </xf>
    <xf numFmtId="0" fontId="37" fillId="4" borderId="18" xfId="40" applyNumberFormat="1" applyFont="1" applyFill="1" applyBorder="1" applyAlignment="1" applyProtection="1">
      <alignment horizontal="right"/>
    </xf>
    <xf numFmtId="169" fontId="37" fillId="4" borderId="18" xfId="40" applyNumberFormat="1" applyFont="1" applyFill="1" applyBorder="1" applyAlignment="1" applyProtection="1"/>
    <xf numFmtId="0" fontId="32" fillId="4" borderId="3" xfId="40" applyFont="1" applyFill="1" applyBorder="1" applyAlignment="1">
      <alignment vertical="center"/>
    </xf>
    <xf numFmtId="0" fontId="32" fillId="4" borderId="4" xfId="40" applyFont="1" applyFill="1" applyBorder="1" applyAlignment="1">
      <alignment vertical="center"/>
    </xf>
    <xf numFmtId="0" fontId="32" fillId="4" borderId="5" xfId="40" applyFont="1" applyFill="1" applyBorder="1" applyAlignment="1">
      <alignment vertical="center"/>
    </xf>
    <xf numFmtId="0" fontId="41" fillId="4" borderId="6" xfId="40" applyFont="1" applyFill="1" applyBorder="1" applyAlignment="1">
      <alignment vertical="center"/>
    </xf>
    <xf numFmtId="170" fontId="41" fillId="5" borderId="8" xfId="40" applyNumberFormat="1" applyFont="1" applyFill="1" applyBorder="1" applyAlignment="1" applyProtection="1">
      <alignment vertical="center"/>
      <protection locked="0"/>
    </xf>
    <xf numFmtId="0" fontId="37" fillId="5" borderId="8" xfId="40" applyFont="1" applyFill="1" applyBorder="1" applyAlignment="1" applyProtection="1">
      <alignment horizontal="left"/>
      <protection locked="0"/>
    </xf>
    <xf numFmtId="0" fontId="32" fillId="5" borderId="8" xfId="40" applyFont="1" applyFill="1" applyBorder="1" applyAlignment="1" applyProtection="1">
      <alignment horizontal="center"/>
      <protection locked="0"/>
    </xf>
    <xf numFmtId="0" fontId="32" fillId="5" borderId="9" xfId="40" applyFont="1" applyFill="1" applyBorder="1" applyAlignment="1" applyProtection="1">
      <alignment horizontal="center"/>
      <protection locked="0"/>
    </xf>
    <xf numFmtId="0" fontId="41" fillId="4" borderId="10" xfId="40" applyFont="1" applyFill="1" applyBorder="1" applyAlignment="1">
      <alignment vertical="center"/>
    </xf>
    <xf numFmtId="170" fontId="48" fillId="4" borderId="0" xfId="19" applyNumberFormat="1" applyFont="1" applyFill="1" applyBorder="1" applyAlignment="1" applyProtection="1">
      <alignment horizontal="right"/>
    </xf>
    <xf numFmtId="170" fontId="48" fillId="4" borderId="0" xfId="19" applyNumberFormat="1" applyFont="1" applyFill="1" applyBorder="1" applyAlignment="1" applyProtection="1">
      <alignment horizontal="center"/>
      <protection locked="0"/>
    </xf>
    <xf numFmtId="170" fontId="48" fillId="4" borderId="10" xfId="53" applyNumberFormat="1" applyFont="1" applyFill="1" applyBorder="1" applyAlignment="1" applyProtection="1">
      <alignment horizontal="right"/>
    </xf>
    <xf numFmtId="0" fontId="48" fillId="5" borderId="6" xfId="40" applyFont="1" applyFill="1" applyBorder="1" applyAlignment="1" applyProtection="1">
      <alignment horizontal="left"/>
      <protection locked="0"/>
    </xf>
    <xf numFmtId="0" fontId="48" fillId="5" borderId="10" xfId="40" applyFont="1" applyFill="1" applyBorder="1" applyAlignment="1" applyProtection="1">
      <alignment horizontal="left"/>
      <protection locked="0"/>
    </xf>
    <xf numFmtId="170" fontId="48" fillId="4" borderId="0" xfId="21" applyNumberFormat="1" applyFont="1" applyFill="1" applyBorder="1" applyAlignment="1" applyProtection="1">
      <alignment horizontal="right"/>
    </xf>
    <xf numFmtId="0" fontId="48" fillId="5" borderId="6" xfId="40" applyFont="1" applyFill="1" applyBorder="1" applyAlignment="1" applyProtection="1">
      <protection locked="0"/>
    </xf>
    <xf numFmtId="0" fontId="48" fillId="5" borderId="10" xfId="40" applyFont="1" applyFill="1" applyBorder="1" applyAlignment="1" applyProtection="1">
      <protection locked="0"/>
    </xf>
    <xf numFmtId="170" fontId="48" fillId="4" borderId="10" xfId="19" applyNumberFormat="1" applyFont="1" applyFill="1" applyBorder="1" applyAlignment="1" applyProtection="1">
      <alignment horizontal="right"/>
    </xf>
    <xf numFmtId="170" fontId="48" fillId="4" borderId="20" xfId="19" applyNumberFormat="1" applyFont="1" applyFill="1" applyBorder="1" applyAlignment="1" applyProtection="1">
      <alignment horizontal="right"/>
    </xf>
    <xf numFmtId="170" fontId="37" fillId="4" borderId="20" xfId="19" applyNumberFormat="1" applyFont="1" applyFill="1" applyBorder="1" applyAlignment="1" applyProtection="1">
      <alignment horizontal="center"/>
      <protection locked="0"/>
    </xf>
    <xf numFmtId="0" fontId="48" fillId="5" borderId="19" xfId="40" applyFont="1" applyFill="1" applyBorder="1" applyAlignment="1" applyProtection="1">
      <alignment horizontal="left"/>
      <protection locked="0"/>
    </xf>
    <xf numFmtId="0" fontId="48" fillId="5" borderId="21" xfId="40" applyFont="1" applyFill="1" applyBorder="1" applyAlignment="1" applyProtection="1">
      <alignment horizontal="left"/>
      <protection locked="0"/>
    </xf>
    <xf numFmtId="170" fontId="48" fillId="4" borderId="21" xfId="40" applyNumberFormat="1" applyFont="1" applyFill="1" applyBorder="1" applyAlignment="1" applyProtection="1">
      <alignment horizontal="right"/>
    </xf>
    <xf numFmtId="170" fontId="41" fillId="4" borderId="0" xfId="40" applyNumberFormat="1" applyFont="1" applyFill="1" applyBorder="1" applyAlignment="1" applyProtection="1">
      <alignment horizontal="center" vertical="center"/>
      <protection locked="0"/>
    </xf>
    <xf numFmtId="170" fontId="41" fillId="4" borderId="0" xfId="40" applyNumberFormat="1" applyFont="1" applyFill="1" applyBorder="1" applyAlignment="1" applyProtection="1">
      <alignment horizontal="right" vertical="center"/>
      <protection locked="0"/>
    </xf>
    <xf numFmtId="0" fontId="36" fillId="4" borderId="10" xfId="40" applyFont="1" applyFill="1" applyBorder="1" applyAlignment="1">
      <alignment vertical="center" wrapText="1" shrinkToFit="1"/>
    </xf>
    <xf numFmtId="0" fontId="49" fillId="4" borderId="6" xfId="40" applyFont="1" applyFill="1" applyBorder="1" applyAlignment="1">
      <alignment vertical="center"/>
    </xf>
    <xf numFmtId="170" fontId="49" fillId="4" borderId="0" xfId="40" applyNumberFormat="1" applyFont="1" applyFill="1" applyBorder="1" applyAlignment="1" applyProtection="1">
      <alignment horizontal="center" vertical="center"/>
      <protection locked="0"/>
    </xf>
    <xf numFmtId="0" fontId="51" fillId="4" borderId="10" xfId="40" applyFont="1" applyFill="1" applyBorder="1" applyAlignment="1">
      <alignment vertical="center" wrapText="1" shrinkToFit="1"/>
    </xf>
    <xf numFmtId="0" fontId="52" fillId="4" borderId="6" xfId="40" applyFont="1" applyFill="1" applyBorder="1" applyAlignment="1">
      <alignment vertical="center"/>
    </xf>
    <xf numFmtId="170" fontId="52" fillId="4" borderId="0" xfId="40" applyNumberFormat="1" applyFont="1" applyFill="1" applyBorder="1" applyAlignment="1" applyProtection="1">
      <alignment horizontal="center" vertical="center"/>
      <protection locked="0"/>
    </xf>
    <xf numFmtId="0" fontId="53" fillId="4" borderId="10" xfId="40" applyFont="1" applyFill="1" applyBorder="1" applyAlignment="1">
      <alignment vertical="center" wrapText="1" shrinkToFit="1"/>
    </xf>
    <xf numFmtId="170" fontId="54" fillId="4" borderId="41" xfId="53" applyNumberFormat="1" applyFont="1" applyFill="1" applyBorder="1" applyAlignment="1" applyProtection="1">
      <alignment horizontal="center" vertical="center"/>
    </xf>
    <xf numFmtId="170" fontId="41" fillId="4" borderId="18" xfId="40" applyNumberFormat="1" applyFont="1" applyFill="1" applyBorder="1" applyAlignment="1" applyProtection="1">
      <alignment horizontal="center" vertical="center"/>
      <protection locked="0"/>
    </xf>
    <xf numFmtId="0" fontId="41" fillId="4" borderId="17" xfId="40" applyFont="1" applyFill="1" applyBorder="1" applyAlignment="1" applyProtection="1">
      <alignment horizontal="right" vertical="center"/>
      <protection locked="0"/>
    </xf>
    <xf numFmtId="170" fontId="41" fillId="4" borderId="18" xfId="40" applyNumberFormat="1" applyFont="1" applyFill="1" applyBorder="1" applyAlignment="1" applyProtection="1">
      <alignment horizontal="right" vertical="center"/>
      <protection locked="0"/>
    </xf>
    <xf numFmtId="0" fontId="37" fillId="4" borderId="6" xfId="40" applyFont="1" applyFill="1" applyBorder="1" applyAlignment="1"/>
    <xf numFmtId="0" fontId="37" fillId="4" borderId="10" xfId="40" applyFont="1" applyFill="1" applyBorder="1" applyAlignment="1"/>
    <xf numFmtId="0" fontId="48" fillId="4" borderId="10" xfId="40" applyFont="1" applyFill="1" applyBorder="1" applyAlignment="1">
      <alignment wrapText="1" shrinkToFit="1"/>
    </xf>
    <xf numFmtId="172" fontId="48" fillId="4" borderId="10" xfId="40" applyNumberFormat="1" applyFont="1" applyFill="1" applyBorder="1" applyAlignment="1">
      <alignment wrapText="1" shrinkToFit="1"/>
    </xf>
    <xf numFmtId="0" fontId="32" fillId="4" borderId="19" xfId="40" applyFont="1" applyFill="1" applyBorder="1"/>
    <xf numFmtId="0" fontId="32" fillId="4" borderId="20" xfId="40" applyFont="1" applyFill="1" applyBorder="1"/>
    <xf numFmtId="0" fontId="32" fillId="4" borderId="20" xfId="40" applyFont="1" applyFill="1" applyBorder="1" applyAlignment="1"/>
    <xf numFmtId="0" fontId="32" fillId="4" borderId="20" xfId="40" applyFont="1" applyFill="1" applyBorder="1" applyAlignment="1">
      <alignment horizontal="left"/>
    </xf>
    <xf numFmtId="172" fontId="55" fillId="4" borderId="21" xfId="40" applyNumberFormat="1" applyFont="1" applyFill="1" applyBorder="1" applyAlignment="1">
      <alignment wrapText="1" shrinkToFit="1"/>
    </xf>
    <xf numFmtId="0" fontId="0" fillId="4" borderId="15" xfId="0" applyFill="1" applyBorder="1" applyAlignment="1">
      <alignment vertical="center"/>
    </xf>
    <xf numFmtId="169" fontId="0" fillId="4" borderId="15" xfId="0" applyNumberFormat="1" applyFill="1" applyBorder="1" applyAlignment="1">
      <alignment vertical="center"/>
    </xf>
    <xf numFmtId="0" fontId="42" fillId="4" borderId="15" xfId="40" applyFont="1" applyFill="1" applyBorder="1" applyAlignment="1" applyProtection="1">
      <alignment horizontal="right" vertical="center"/>
      <protection locked="0"/>
    </xf>
    <xf numFmtId="169" fontId="0" fillId="4" borderId="15" xfId="0" applyNumberFormat="1" applyFill="1" applyBorder="1" applyAlignment="1">
      <alignment horizontal="center" vertical="center"/>
    </xf>
    <xf numFmtId="0" fontId="57" fillId="0" borderId="0" xfId="0" applyFont="1"/>
    <xf numFmtId="0" fontId="58" fillId="3" borderId="0" xfId="0" applyFont="1" applyFill="1"/>
    <xf numFmtId="0" fontId="39" fillId="0" borderId="0" xfId="0" applyFont="1" applyFill="1" applyBorder="1" applyAlignment="1">
      <alignment vertical="top" wrapText="1"/>
    </xf>
    <xf numFmtId="170" fontId="54" fillId="4" borderId="41" xfId="40" applyNumberFormat="1" applyFont="1" applyFill="1" applyBorder="1" applyAlignment="1" applyProtection="1">
      <alignment horizontal="center" vertical="center"/>
    </xf>
    <xf numFmtId="169" fontId="37" fillId="4" borderId="16" xfId="40" applyNumberFormat="1" applyFont="1" applyFill="1" applyBorder="1" applyAlignment="1" applyProtection="1">
      <alignment horizontal="right"/>
    </xf>
    <xf numFmtId="0" fontId="38" fillId="0" borderId="29" xfId="0" applyFont="1" applyFill="1" applyBorder="1" applyAlignment="1">
      <alignment horizontal="center" vertical="center"/>
    </xf>
    <xf numFmtId="0" fontId="38" fillId="0" borderId="30" xfId="0" applyFont="1" applyFill="1" applyBorder="1" applyAlignment="1">
      <alignment horizontal="center" vertical="center"/>
    </xf>
    <xf numFmtId="0" fontId="38" fillId="0" borderId="31" xfId="0" applyFont="1" applyFill="1" applyBorder="1" applyAlignment="1">
      <alignment horizontal="center" vertical="center"/>
    </xf>
    <xf numFmtId="0" fontId="38" fillId="0" borderId="33" xfId="0" applyFont="1" applyFill="1" applyBorder="1" applyAlignment="1">
      <alignment horizontal="center" vertical="center"/>
    </xf>
    <xf numFmtId="0" fontId="38" fillId="0" borderId="34" xfId="0" applyFont="1" applyFill="1" applyBorder="1" applyAlignment="1">
      <alignment horizontal="center" vertical="center"/>
    </xf>
    <xf numFmtId="0" fontId="38" fillId="0" borderId="35" xfId="0" applyFont="1" applyFill="1" applyBorder="1" applyAlignment="1">
      <alignment horizontal="center" vertical="center"/>
    </xf>
    <xf numFmtId="3" fontId="38" fillId="0" borderId="29" xfId="0" applyNumberFormat="1" applyFont="1" applyFill="1" applyBorder="1" applyAlignment="1">
      <alignment horizontal="center" vertical="center"/>
    </xf>
    <xf numFmtId="3" fontId="38" fillId="0" borderId="30" xfId="0" applyNumberFormat="1" applyFont="1" applyFill="1" applyBorder="1" applyAlignment="1">
      <alignment horizontal="center" vertical="center"/>
    </xf>
    <xf numFmtId="3" fontId="38" fillId="0" borderId="31" xfId="0" applyNumberFormat="1" applyFont="1" applyFill="1" applyBorder="1" applyAlignment="1">
      <alignment horizontal="center" vertical="center"/>
    </xf>
    <xf numFmtId="171" fontId="38" fillId="0" borderId="33" xfId="0" applyNumberFormat="1" applyFont="1" applyFill="1" applyBorder="1" applyAlignment="1">
      <alignment horizontal="center" vertical="center"/>
    </xf>
    <xf numFmtId="171" fontId="38" fillId="0" borderId="34" xfId="0" applyNumberFormat="1" applyFont="1" applyFill="1" applyBorder="1" applyAlignment="1">
      <alignment horizontal="center" vertical="center"/>
    </xf>
    <xf numFmtId="171" fontId="38" fillId="0" borderId="35" xfId="0" applyNumberFormat="1" applyFont="1" applyFill="1" applyBorder="1" applyAlignment="1">
      <alignment horizontal="center" vertical="center"/>
    </xf>
    <xf numFmtId="0" fontId="38" fillId="0" borderId="19" xfId="0" applyFont="1" applyFill="1" applyBorder="1" applyAlignment="1">
      <alignment horizontal="center" vertical="center"/>
    </xf>
    <xf numFmtId="0" fontId="38" fillId="0" borderId="20" xfId="0" applyFont="1" applyFill="1" applyBorder="1" applyAlignment="1">
      <alignment horizontal="center" vertical="center"/>
    </xf>
    <xf numFmtId="0" fontId="38" fillId="0" borderId="21" xfId="0" applyFont="1" applyFill="1" applyBorder="1" applyAlignment="1">
      <alignment horizontal="center" vertical="center"/>
    </xf>
    <xf numFmtId="0" fontId="38" fillId="0" borderId="37" xfId="0" applyFont="1" applyFill="1" applyBorder="1" applyAlignment="1">
      <alignment horizontal="center" vertical="center"/>
    </xf>
    <xf numFmtId="0" fontId="38" fillId="0" borderId="38" xfId="0" applyFont="1" applyFill="1" applyBorder="1" applyAlignment="1">
      <alignment horizontal="center" vertical="center"/>
    </xf>
    <xf numFmtId="0" fontId="38" fillId="0" borderId="39" xfId="0" applyFont="1" applyFill="1" applyBorder="1" applyAlignment="1">
      <alignment horizontal="center" vertical="center"/>
    </xf>
    <xf numFmtId="0" fontId="37" fillId="5" borderId="7" xfId="0" applyFont="1" applyFill="1" applyBorder="1" applyAlignment="1">
      <alignment horizontal="left" vertical="center"/>
    </xf>
    <xf numFmtId="0" fontId="37" fillId="5" borderId="8" xfId="0" applyFont="1" applyFill="1" applyBorder="1" applyAlignment="1">
      <alignment horizontal="left" vertical="center"/>
    </xf>
    <xf numFmtId="0" fontId="37" fillId="5" borderId="9" xfId="0" applyFont="1" applyFill="1" applyBorder="1" applyAlignment="1">
      <alignment horizontal="left" vertical="center"/>
    </xf>
    <xf numFmtId="0" fontId="38" fillId="0" borderId="22" xfId="0" applyFont="1" applyFill="1" applyBorder="1" applyAlignment="1">
      <alignment horizontal="center" vertical="center"/>
    </xf>
    <xf numFmtId="0" fontId="38" fillId="0" borderId="23" xfId="0" applyFont="1" applyFill="1" applyBorder="1" applyAlignment="1">
      <alignment horizontal="center" vertical="center"/>
    </xf>
    <xf numFmtId="0" fontId="38" fillId="0" borderId="24" xfId="0" applyFont="1" applyFill="1" applyBorder="1" applyAlignment="1">
      <alignment horizontal="center" vertical="center"/>
    </xf>
    <xf numFmtId="186" fontId="38" fillId="0" borderId="26" xfId="0" applyNumberFormat="1" applyFont="1" applyFill="1" applyBorder="1" applyAlignment="1">
      <alignment horizontal="center" vertical="center"/>
    </xf>
    <xf numFmtId="186" fontId="38" fillId="0" borderId="27" xfId="0" applyNumberFormat="1" applyFont="1" applyFill="1" applyBorder="1" applyAlignment="1">
      <alignment horizontal="center" vertical="center"/>
    </xf>
    <xf numFmtId="186" fontId="38" fillId="0" borderId="28" xfId="0" applyNumberFormat="1" applyFont="1" applyFill="1" applyBorder="1" applyAlignment="1">
      <alignment horizontal="center" vertical="center"/>
    </xf>
    <xf numFmtId="0" fontId="38" fillId="6" borderId="33" xfId="0" applyFont="1" applyFill="1" applyBorder="1" applyAlignment="1">
      <alignment horizontal="center" vertical="center"/>
    </xf>
    <xf numFmtId="0" fontId="38" fillId="6" borderId="34" xfId="0" applyFont="1" applyFill="1" applyBorder="1" applyAlignment="1">
      <alignment horizontal="center" vertical="center"/>
    </xf>
    <xf numFmtId="0" fontId="38" fillId="6" borderId="35" xfId="0" applyFont="1" applyFill="1" applyBorder="1" applyAlignment="1">
      <alignment horizontal="center" vertical="center"/>
    </xf>
    <xf numFmtId="0" fontId="39" fillId="0" borderId="50" xfId="0" applyFont="1" applyFill="1" applyBorder="1" applyAlignment="1">
      <alignment vertical="top" wrapText="1"/>
    </xf>
    <xf numFmtId="0" fontId="39" fillId="0" borderId="51" xfId="0" applyFont="1" applyFill="1" applyBorder="1" applyAlignment="1">
      <alignment vertical="top" wrapText="1"/>
    </xf>
    <xf numFmtId="0" fontId="39" fillId="0" borderId="52" xfId="0" applyFont="1" applyFill="1" applyBorder="1" applyAlignment="1">
      <alignment vertical="top" wrapText="1"/>
    </xf>
    <xf numFmtId="0" fontId="39" fillId="0" borderId="53" xfId="0" applyFont="1" applyFill="1" applyBorder="1" applyAlignment="1">
      <alignment vertical="top" wrapText="1"/>
    </xf>
    <xf numFmtId="0" fontId="39" fillId="0" borderId="0" xfId="0" applyFont="1" applyFill="1" applyBorder="1" applyAlignment="1">
      <alignment vertical="top" wrapText="1"/>
    </xf>
    <xf numFmtId="0" fontId="39" fillId="0" borderId="54" xfId="0" applyFont="1" applyFill="1" applyBorder="1" applyAlignment="1">
      <alignment vertical="top" wrapText="1"/>
    </xf>
    <xf numFmtId="0" fontId="39" fillId="0" borderId="55" xfId="0" applyFont="1" applyFill="1" applyBorder="1" applyAlignment="1">
      <alignment vertical="top" wrapText="1"/>
    </xf>
    <xf numFmtId="0" fontId="39" fillId="0" borderId="56" xfId="0" applyFont="1" applyFill="1" applyBorder="1" applyAlignment="1">
      <alignment vertical="top" wrapText="1"/>
    </xf>
    <xf numFmtId="0" fontId="39" fillId="0" borderId="57" xfId="0" applyFont="1" applyFill="1" applyBorder="1" applyAlignment="1">
      <alignment vertical="top" wrapText="1"/>
    </xf>
    <xf numFmtId="0" fontId="30" fillId="4" borderId="0" xfId="40" applyFont="1" applyFill="1" applyBorder="1" applyAlignment="1" applyProtection="1">
      <alignment horizontal="right" vertical="center"/>
      <protection locked="0"/>
    </xf>
    <xf numFmtId="170" fontId="38" fillId="0" borderId="29" xfId="0" applyNumberFormat="1" applyFont="1" applyFill="1" applyBorder="1" applyAlignment="1">
      <alignment horizontal="center" vertical="center"/>
    </xf>
    <xf numFmtId="170" fontId="38" fillId="0" borderId="31" xfId="0" applyNumberFormat="1" applyFont="1" applyFill="1" applyBorder="1" applyAlignment="1">
      <alignment horizontal="center" vertical="center"/>
    </xf>
    <xf numFmtId="0" fontId="39" fillId="0" borderId="3" xfId="0" applyFont="1" applyFill="1" applyBorder="1" applyAlignment="1">
      <alignment horizontal="center" vertical="center"/>
    </xf>
    <xf numFmtId="0" fontId="39" fillId="0" borderId="4" xfId="0" applyFont="1" applyFill="1" applyBorder="1" applyAlignment="1">
      <alignment horizontal="center" vertical="center"/>
    </xf>
    <xf numFmtId="0" fontId="39" fillId="0" borderId="5" xfId="0" applyFont="1" applyFill="1" applyBorder="1" applyAlignment="1">
      <alignment horizontal="center" vertical="center"/>
    </xf>
    <xf numFmtId="0" fontId="39" fillId="0" borderId="6" xfId="0" applyFont="1" applyFill="1" applyBorder="1" applyAlignment="1">
      <alignment horizontal="center" vertical="center"/>
    </xf>
    <xf numFmtId="0" fontId="39" fillId="0" borderId="0" xfId="0" applyFont="1" applyFill="1" applyBorder="1" applyAlignment="1">
      <alignment horizontal="center" vertical="center"/>
    </xf>
    <xf numFmtId="0" fontId="39" fillId="0" borderId="10" xfId="0" applyFont="1" applyFill="1" applyBorder="1" applyAlignment="1">
      <alignment horizontal="center" vertical="center"/>
    </xf>
    <xf numFmtId="0" fontId="39" fillId="0" borderId="19" xfId="0" applyFont="1" applyFill="1" applyBorder="1" applyAlignment="1">
      <alignment horizontal="center" vertical="center"/>
    </xf>
    <xf numFmtId="0" fontId="39" fillId="0" borderId="20" xfId="0" applyFont="1" applyFill="1" applyBorder="1" applyAlignment="1">
      <alignment horizontal="center" vertical="center"/>
    </xf>
    <xf numFmtId="0" fontId="39" fillId="0" borderId="21" xfId="0" applyFont="1" applyFill="1" applyBorder="1" applyAlignment="1">
      <alignment horizontal="center" vertical="center"/>
    </xf>
    <xf numFmtId="170" fontId="38" fillId="0" borderId="3" xfId="0" applyNumberFormat="1" applyFont="1" applyFill="1" applyBorder="1" applyAlignment="1">
      <alignment horizontal="center" vertical="center"/>
    </xf>
    <xf numFmtId="170" fontId="38" fillId="0" borderId="5" xfId="0" applyNumberFormat="1" applyFont="1" applyFill="1" applyBorder="1" applyAlignment="1">
      <alignment horizontal="center" vertical="center"/>
    </xf>
    <xf numFmtId="170" fontId="38" fillId="0" borderId="19" xfId="0" applyNumberFormat="1" applyFont="1" applyFill="1" applyBorder="1" applyAlignment="1">
      <alignment horizontal="center" vertical="center"/>
    </xf>
    <xf numFmtId="170" fontId="38" fillId="0" borderId="21" xfId="0" applyNumberFormat="1" applyFont="1" applyFill="1" applyBorder="1" applyAlignment="1">
      <alignment horizontal="center" vertical="center"/>
    </xf>
    <xf numFmtId="0" fontId="48" fillId="5" borderId="17" xfId="40" applyFont="1" applyFill="1" applyBorder="1" applyAlignment="1"/>
    <xf numFmtId="0" fontId="48" fillId="5" borderId="0" xfId="40" applyFont="1" applyFill="1" applyBorder="1" applyAlignment="1"/>
    <xf numFmtId="0" fontId="48" fillId="5" borderId="48" xfId="40" applyFont="1" applyFill="1" applyBorder="1" applyAlignment="1"/>
    <xf numFmtId="0" fontId="48" fillId="5" borderId="20" xfId="40" applyFont="1" applyFill="1" applyBorder="1" applyAlignment="1"/>
    <xf numFmtId="0" fontId="48" fillId="5" borderId="3" xfId="40" applyFont="1" applyFill="1" applyBorder="1" applyAlignment="1" applyProtection="1">
      <alignment horizontal="left"/>
      <protection locked="0"/>
    </xf>
    <xf numFmtId="0" fontId="48" fillId="5" borderId="5" xfId="40" applyFont="1" applyFill="1" applyBorder="1" applyAlignment="1" applyProtection="1">
      <alignment horizontal="left"/>
      <protection locked="0"/>
    </xf>
    <xf numFmtId="0" fontId="48" fillId="5" borderId="6" xfId="40" applyFont="1" applyFill="1" applyBorder="1" applyAlignment="1" applyProtection="1">
      <alignment horizontal="left"/>
      <protection locked="0"/>
    </xf>
    <xf numFmtId="0" fontId="48" fillId="5" borderId="10" xfId="40" applyFont="1" applyFill="1" applyBorder="1" applyAlignment="1" applyProtection="1">
      <alignment horizontal="left"/>
      <protection locked="0"/>
    </xf>
    <xf numFmtId="170" fontId="54" fillId="4" borderId="42" xfId="53" applyNumberFormat="1" applyFont="1" applyFill="1" applyBorder="1" applyAlignment="1" applyProtection="1">
      <alignment horizontal="center" vertical="center"/>
    </xf>
    <xf numFmtId="170" fontId="54" fillId="4" borderId="44" xfId="53" applyNumberFormat="1" applyFont="1" applyFill="1" applyBorder="1" applyAlignment="1" applyProtection="1">
      <alignment horizontal="center" vertical="center"/>
    </xf>
    <xf numFmtId="170" fontId="54" fillId="4" borderId="42" xfId="40" applyNumberFormat="1" applyFont="1" applyFill="1" applyBorder="1" applyAlignment="1" applyProtection="1">
      <alignment horizontal="center" vertical="center"/>
    </xf>
    <xf numFmtId="170" fontId="54" fillId="4" borderId="44" xfId="40" applyNumberFormat="1" applyFont="1" applyFill="1" applyBorder="1" applyAlignment="1" applyProtection="1">
      <alignment horizontal="center" vertical="center"/>
    </xf>
    <xf numFmtId="0" fontId="48" fillId="5" borderId="47" xfId="40" applyFont="1" applyFill="1" applyBorder="1" applyAlignment="1"/>
    <xf numFmtId="0" fontId="48" fillId="5" borderId="4" xfId="40" applyFont="1" applyFill="1" applyBorder="1" applyAlignment="1"/>
    <xf numFmtId="0" fontId="48" fillId="5" borderId="14" xfId="40" applyFont="1" applyFill="1" applyBorder="1" applyAlignment="1"/>
    <xf numFmtId="0" fontId="48" fillId="5" borderId="15" xfId="40" applyFont="1" applyFill="1" applyBorder="1" applyAlignment="1"/>
    <xf numFmtId="0" fontId="37" fillId="5" borderId="7" xfId="40" applyFont="1" applyFill="1" applyBorder="1" applyAlignment="1" applyProtection="1">
      <alignment horizontal="left"/>
      <protection locked="0"/>
    </xf>
    <xf numFmtId="0" fontId="37" fillId="5" borderId="8" xfId="40" applyFont="1" applyFill="1" applyBorder="1" applyAlignment="1" applyProtection="1">
      <alignment horizontal="left"/>
      <protection locked="0"/>
    </xf>
    <xf numFmtId="0" fontId="48" fillId="5" borderId="19" xfId="40" applyFont="1" applyFill="1" applyBorder="1" applyAlignment="1" applyProtection="1">
      <alignment horizontal="left"/>
      <protection locked="0"/>
    </xf>
    <xf numFmtId="0" fontId="48" fillId="5" borderId="21" xfId="40" applyFont="1" applyFill="1" applyBorder="1" applyAlignment="1" applyProtection="1">
      <alignment horizontal="left"/>
      <protection locked="0"/>
    </xf>
    <xf numFmtId="0" fontId="34" fillId="7" borderId="42" xfId="0" applyFont="1" applyFill="1" applyBorder="1" applyAlignment="1">
      <alignment horizontal="center" vertical="center"/>
    </xf>
    <xf numFmtId="0" fontId="34" fillId="7" borderId="43" xfId="0" applyFont="1" applyFill="1" applyBorder="1" applyAlignment="1">
      <alignment horizontal="center" vertical="center"/>
    </xf>
    <xf numFmtId="0" fontId="34" fillId="7" borderId="44" xfId="0" applyFont="1" applyFill="1" applyBorder="1" applyAlignment="1">
      <alignment horizontal="center" vertical="center"/>
    </xf>
    <xf numFmtId="10" fontId="56" fillId="6" borderId="14" xfId="40" applyNumberFormat="1" applyFont="1" applyFill="1" applyBorder="1" applyAlignment="1" applyProtection="1">
      <alignment horizontal="center" vertical="center"/>
    </xf>
    <xf numFmtId="10" fontId="56" fillId="6" borderId="15" xfId="40" applyNumberFormat="1" applyFont="1" applyFill="1" applyBorder="1" applyAlignment="1" applyProtection="1">
      <alignment horizontal="center" vertical="center"/>
    </xf>
    <xf numFmtId="10" fontId="56" fillId="6" borderId="16" xfId="40" applyNumberFormat="1" applyFont="1" applyFill="1" applyBorder="1" applyAlignment="1" applyProtection="1">
      <alignment horizontal="center" vertical="center"/>
    </xf>
    <xf numFmtId="10" fontId="56" fillId="6" borderId="14" xfId="53" applyNumberFormat="1" applyFont="1" applyFill="1" applyBorder="1" applyAlignment="1" applyProtection="1">
      <alignment horizontal="center" vertical="center"/>
    </xf>
    <xf numFmtId="10" fontId="56" fillId="6" borderId="15" xfId="53" applyNumberFormat="1" applyFont="1" applyFill="1" applyBorder="1" applyAlignment="1" applyProtection="1">
      <alignment horizontal="center" vertical="center"/>
    </xf>
    <xf numFmtId="10" fontId="56" fillId="6" borderId="16" xfId="53" applyNumberFormat="1" applyFont="1" applyFill="1" applyBorder="1" applyAlignment="1" applyProtection="1">
      <alignment horizontal="center" vertical="center"/>
    </xf>
    <xf numFmtId="0" fontId="37" fillId="4" borderId="17" xfId="40" applyFont="1" applyFill="1" applyBorder="1" applyAlignment="1">
      <alignment horizontal="center" vertical="center"/>
    </xf>
    <xf numFmtId="0" fontId="37" fillId="4" borderId="0" xfId="40" applyFont="1" applyFill="1" applyBorder="1" applyAlignment="1">
      <alignment horizontal="center" vertical="center"/>
    </xf>
    <xf numFmtId="0" fontId="37" fillId="4" borderId="18" xfId="40" applyFont="1" applyFill="1" applyBorder="1" applyAlignment="1">
      <alignment horizontal="center" vertical="center"/>
    </xf>
    <xf numFmtId="0" fontId="50" fillId="8" borderId="11" xfId="40" applyFont="1" applyFill="1" applyBorder="1" applyAlignment="1" applyProtection="1">
      <alignment horizontal="center" vertical="center"/>
      <protection locked="0"/>
    </xf>
    <xf numFmtId="0" fontId="50" fillId="8" borderId="12" xfId="40" applyFont="1" applyFill="1" applyBorder="1" applyAlignment="1" applyProtection="1">
      <alignment horizontal="center" vertical="center"/>
      <protection locked="0"/>
    </xf>
    <xf numFmtId="0" fontId="50" fillId="8" borderId="13" xfId="40" applyFont="1" applyFill="1" applyBorder="1" applyAlignment="1" applyProtection="1">
      <alignment horizontal="center" vertical="center"/>
      <protection locked="0"/>
    </xf>
    <xf numFmtId="0" fontId="50" fillId="8" borderId="11" xfId="40" applyFont="1" applyFill="1" applyBorder="1" applyAlignment="1" applyProtection="1">
      <alignment horizontal="center" vertical="center"/>
      <protection locked="0"/>
    </xf>
  </cellXfs>
  <cellStyles count="72">
    <cellStyle name="=C:\WINNT\SYSTEM32\COMMAND.COM" xfId="1"/>
    <cellStyle name="Calc Currency (0)" xfId="2"/>
    <cellStyle name="Calc Currency (2)" xfId="3"/>
    <cellStyle name="Calc Percent (0)" xfId="4"/>
    <cellStyle name="Calc Percent (1)" xfId="5"/>
    <cellStyle name="Calc Percent (2)" xfId="6"/>
    <cellStyle name="Calc Units (0)" xfId="7"/>
    <cellStyle name="Calc Units (1)" xfId="8"/>
    <cellStyle name="Calc Units (2)" xfId="9"/>
    <cellStyle name="Comma  - Style1" xfId="10"/>
    <cellStyle name="Comma  - Style2" xfId="11"/>
    <cellStyle name="Comma  - Style3" xfId="12"/>
    <cellStyle name="Comma  - Style4" xfId="13"/>
    <cellStyle name="Comma  - Style5" xfId="14"/>
    <cellStyle name="Comma  - Style6" xfId="15"/>
    <cellStyle name="Comma  - Style7" xfId="16"/>
    <cellStyle name="Comma  - Style8" xfId="17"/>
    <cellStyle name="Comma [00]" xfId="18"/>
    <cellStyle name="Comma 2" xfId="19"/>
    <cellStyle name="Currency [00]" xfId="20"/>
    <cellStyle name="Currency 2" xfId="21"/>
    <cellStyle name="Date Short" xfId="22"/>
    <cellStyle name="Enter Currency (0)" xfId="23"/>
    <cellStyle name="Enter Currency (2)" xfId="24"/>
    <cellStyle name="Enter Units (0)" xfId="25"/>
    <cellStyle name="Enter Units (1)" xfId="26"/>
    <cellStyle name="Enter Units (2)" xfId="27"/>
    <cellStyle name="Followed Hyperlink" xfId="71" builtinId="9" hidden="1"/>
    <cellStyle name="Header1" xfId="28"/>
    <cellStyle name="Header2" xfId="29"/>
    <cellStyle name="Hyperlink" xfId="70" builtinId="8" hidden="1"/>
    <cellStyle name="Hyperlink 2" xfId="30"/>
    <cellStyle name="Hyperlink 2 2" xfId="31"/>
    <cellStyle name="Hyperlink 2 3" xfId="32"/>
    <cellStyle name="Hyperlink 3" xfId="33"/>
    <cellStyle name="Link Currency (0)" xfId="34"/>
    <cellStyle name="Link Currency (2)" xfId="35"/>
    <cellStyle name="Link Units (0)" xfId="36"/>
    <cellStyle name="Link Units (1)" xfId="37"/>
    <cellStyle name="Link Units (2)" xfId="38"/>
    <cellStyle name="Normal" xfId="0" builtinId="0"/>
    <cellStyle name="Normal - Style1" xfId="39"/>
    <cellStyle name="Normal 2" xfId="40"/>
    <cellStyle name="Normal 2 2" xfId="41"/>
    <cellStyle name="Normal 2 3" xfId="42"/>
    <cellStyle name="Normal 3" xfId="43"/>
    <cellStyle name="Normal 3 2" xfId="44"/>
    <cellStyle name="Normal 4" xfId="45"/>
    <cellStyle name="Normal 5" xfId="46"/>
    <cellStyle name="Normal 6" xfId="47"/>
    <cellStyle name="Normal 7" xfId="48"/>
    <cellStyle name="Normal 8" xfId="49"/>
    <cellStyle name="Normal 9" xfId="50"/>
    <cellStyle name="Percent [0]" xfId="51"/>
    <cellStyle name="Percent [00]" xfId="52"/>
    <cellStyle name="Percent 2" xfId="53"/>
    <cellStyle name="Percent 2 2" xfId="54"/>
    <cellStyle name="Percent 2 3" xfId="55"/>
    <cellStyle name="Percent 3" xfId="56"/>
    <cellStyle name="PrePop Currency (0)" xfId="57"/>
    <cellStyle name="PrePop Currency (2)" xfId="58"/>
    <cellStyle name="PrePop Units (0)" xfId="59"/>
    <cellStyle name="PrePop Units (1)" xfId="60"/>
    <cellStyle name="PrePop Units (2)" xfId="61"/>
    <cellStyle name="Standard_ASCIIausD" xfId="62"/>
    <cellStyle name="Style 1" xfId="63"/>
    <cellStyle name="Text Indent A" xfId="64"/>
    <cellStyle name="Text Indent B" xfId="65"/>
    <cellStyle name="Text Indent C" xfId="66"/>
    <cellStyle name="콤마 [0]_VERA" xfId="67"/>
    <cellStyle name="콤마_VERA" xfId="68"/>
    <cellStyle name="하이퍼링크_VERA" xfId="69"/>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1042307</xdr:colOff>
      <xdr:row>0</xdr:row>
      <xdr:rowOff>136072</xdr:rowOff>
    </xdr:from>
    <xdr:to>
      <xdr:col>10</xdr:col>
      <xdr:colOff>33927</xdr:colOff>
      <xdr:row>0</xdr:row>
      <xdr:rowOff>787689</xdr:rowOff>
    </xdr:to>
    <xdr:pic>
      <xdr:nvPicPr>
        <xdr:cNvPr id="3" name="Picture 2"/>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tretch>
          <a:fillRect/>
        </a:stretch>
      </xdr:blipFill>
      <xdr:spPr>
        <a:xfrm>
          <a:off x="9367157" y="136072"/>
          <a:ext cx="2792095" cy="651617"/>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95250</xdr:colOff>
      <xdr:row>0</xdr:row>
      <xdr:rowOff>136072</xdr:rowOff>
    </xdr:from>
    <xdr:to>
      <xdr:col>8</xdr:col>
      <xdr:colOff>93798</xdr:colOff>
      <xdr:row>0</xdr:row>
      <xdr:rowOff>787689</xdr:rowOff>
    </xdr:to>
    <xdr:pic>
      <xdr:nvPicPr>
        <xdr:cNvPr id="3" name="Picture 2"/>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tretch>
          <a:fillRect/>
        </a:stretch>
      </xdr:blipFill>
      <xdr:spPr>
        <a:xfrm>
          <a:off x="8994321" y="136072"/>
          <a:ext cx="2801620" cy="651617"/>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edMC/Library/Application%20Support/Microsoft/Office/Office%202011%20AutoRecovery/Product%20plan%202009-10-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lications/Microsoft%20Office%202011/Microsoft%20Excel.app/Contents/MacOS/Project%20Managem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TedMC/Library/Application%20Support/Microsoft/Office/Office%202011%20AutoRecovery/RealeFlow%20Roadmap%20Aug-13%20V2.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dcalculator_free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ileron/Desktop/FortuneBuilders/Atlas%20Operational%20Pl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ileron/Library/Application%20Support/Microsoft/Office/Office%202011%20AutoRecovery/FortuneBuilders/Atlas%20Operational%20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emp/MeghanandSuratkal/Temporary%20Internet%20Files/OLKB/GCS_Release_Management_Plan_2008%2011%2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Lis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iday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Quick Start"/>
      <sheetName val="Monthly Payment"/>
      <sheetName val="Internals"/>
      <sheetName val="Amortization Schedule"/>
      <sheetName val="Loan Comparison"/>
      <sheetName val="Future Values"/>
      <sheetName val="Disclaimer"/>
      <sheetName val="calcs"/>
    </sheetNames>
    <sheetDataSet>
      <sheetData sheetId="0" refreshError="1"/>
      <sheetData sheetId="1" refreshError="1"/>
      <sheetData sheetId="2" refreshError="1"/>
      <sheetData sheetId="3">
        <row r="4">
          <cell r="D4" t="b">
            <v>0</v>
          </cell>
        </row>
        <row r="5">
          <cell r="D5" t="b">
            <v>0</v>
          </cell>
        </row>
        <row r="6">
          <cell r="D6" t="b">
            <v>0</v>
          </cell>
        </row>
        <row r="7">
          <cell r="D7" t="b">
            <v>0</v>
          </cell>
        </row>
        <row r="8">
          <cell r="D8" t="b">
            <v>0</v>
          </cell>
        </row>
        <row r="9">
          <cell r="D9" t="b">
            <v>0</v>
          </cell>
        </row>
        <row r="10">
          <cell r="D10" t="b">
            <v>0</v>
          </cell>
        </row>
        <row r="11">
          <cell r="D11" t="b">
            <v>0</v>
          </cell>
        </row>
        <row r="12">
          <cell r="D12" t="b">
            <v>0</v>
          </cell>
        </row>
        <row r="13">
          <cell r="D13" t="b">
            <v>0</v>
          </cell>
        </row>
        <row r="14">
          <cell r="D14" t="b">
            <v>0</v>
          </cell>
        </row>
        <row r="15">
          <cell r="D15" t="b">
            <v>0</v>
          </cell>
        </row>
      </sheetData>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 Issue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 Issue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Release Action Items Lis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92"/>
  <sheetViews>
    <sheetView showGridLines="0" zoomScaleNormal="100" workbookViewId="0">
      <selection activeCell="Q7" sqref="Q7"/>
    </sheetView>
  </sheetViews>
  <sheetFormatPr defaultColWidth="11" defaultRowHeight="15.75"/>
  <cols>
    <col min="1" max="1" width="2.375" customWidth="1"/>
    <col min="2" max="2" width="31.875" customWidth="1"/>
    <col min="3" max="3" width="18" customWidth="1"/>
    <col min="4" max="4" width="2.375" customWidth="1"/>
    <col min="5" max="5" width="31.875" customWidth="1"/>
    <col min="6" max="6" width="2.375" style="75" customWidth="1"/>
    <col min="7" max="7" width="18" customWidth="1"/>
    <col min="8" max="8" width="2.375" customWidth="1"/>
    <col min="9" max="9" width="31.875" customWidth="1"/>
    <col min="10" max="10" width="18" customWidth="1"/>
    <col min="11" max="11" width="2.375" customWidth="1"/>
    <col min="12" max="12" width="4.5" customWidth="1"/>
    <col min="34" max="34" width="14.625" bestFit="1" customWidth="1"/>
  </cols>
  <sheetData>
    <row r="1" spans="1:40" s="35" customFormat="1" ht="72" customHeight="1" thickBot="1">
      <c r="A1" s="30"/>
      <c r="B1" s="30" t="s">
        <v>77</v>
      </c>
      <c r="C1" s="31"/>
      <c r="D1" s="31"/>
      <c r="E1" s="31"/>
      <c r="F1" s="32"/>
      <c r="G1" s="31"/>
      <c r="H1" s="31"/>
      <c r="I1" s="31"/>
      <c r="J1" s="33"/>
      <c r="K1" s="34"/>
      <c r="L1" s="34"/>
      <c r="M1" s="34"/>
      <c r="N1" s="34"/>
      <c r="O1" s="34"/>
      <c r="P1" s="34"/>
      <c r="Q1" s="34"/>
      <c r="R1" s="34"/>
    </row>
    <row r="2" spans="1:40" s="38" customFormat="1" ht="15.95" hidden="1" customHeight="1">
      <c r="A2" s="36"/>
      <c r="B2" s="36"/>
      <c r="C2" s="36"/>
      <c r="D2" s="36"/>
      <c r="E2" s="36"/>
      <c r="F2" s="36"/>
      <c r="G2" s="36"/>
      <c r="H2" s="37"/>
      <c r="I2" s="37"/>
      <c r="J2" s="37"/>
      <c r="K2" s="37"/>
      <c r="AG2" s="39" t="s">
        <v>8</v>
      </c>
      <c r="AH2" s="39" t="s">
        <v>9</v>
      </c>
    </row>
    <row r="3" spans="1:40" s="38" customFormat="1" ht="15.95" hidden="1" customHeight="1">
      <c r="A3" s="36"/>
      <c r="B3" s="36"/>
      <c r="C3" s="36"/>
      <c r="D3" s="36"/>
      <c r="E3" s="36"/>
      <c r="F3" s="36"/>
      <c r="G3" s="36"/>
      <c r="H3" s="37"/>
      <c r="I3" s="37"/>
      <c r="J3" s="37"/>
      <c r="K3" s="37"/>
      <c r="AG3" s="39" t="s">
        <v>10</v>
      </c>
      <c r="AH3" s="39" t="s">
        <v>11</v>
      </c>
    </row>
    <row r="4" spans="1:40" s="38" customFormat="1" ht="15.95" hidden="1" customHeight="1">
      <c r="A4" s="36"/>
      <c r="B4" s="36"/>
      <c r="C4" s="36"/>
      <c r="D4" s="36"/>
      <c r="E4" s="36"/>
      <c r="F4" s="36"/>
      <c r="G4" s="36"/>
      <c r="H4" s="37"/>
      <c r="I4" s="37"/>
      <c r="J4" s="37"/>
      <c r="K4" s="37"/>
      <c r="AG4" s="39"/>
      <c r="AH4" s="39" t="s">
        <v>1</v>
      </c>
    </row>
    <row r="5" spans="1:40" s="38" customFormat="1" ht="26.1" hidden="1" customHeight="1" thickBot="1">
      <c r="A5" s="36"/>
      <c r="B5" s="36"/>
      <c r="C5" s="36"/>
      <c r="D5" s="36"/>
      <c r="E5" s="36"/>
      <c r="F5" s="36"/>
      <c r="G5" s="36"/>
      <c r="H5" s="37"/>
      <c r="I5" s="37"/>
      <c r="J5" s="37"/>
      <c r="K5" s="37"/>
    </row>
    <row r="6" spans="1:40" ht="17.25" thickTop="1" thickBot="1">
      <c r="A6" s="40"/>
      <c r="B6" s="41"/>
      <c r="C6" s="41"/>
      <c r="D6" s="41"/>
      <c r="E6" s="41"/>
      <c r="F6" s="41"/>
      <c r="G6" s="41"/>
      <c r="H6" s="41"/>
      <c r="I6" s="41"/>
      <c r="J6" s="41"/>
      <c r="K6" s="42"/>
      <c r="L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row>
    <row r="7" spans="1:40" ht="21.95" customHeight="1" thickBot="1">
      <c r="A7" s="44"/>
      <c r="B7" s="194" t="s">
        <v>12</v>
      </c>
      <c r="C7" s="195"/>
      <c r="D7" s="195"/>
      <c r="E7" s="196"/>
      <c r="F7" s="45"/>
      <c r="G7" s="194" t="s">
        <v>13</v>
      </c>
      <c r="H7" s="195"/>
      <c r="I7" s="195"/>
      <c r="J7" s="196"/>
      <c r="K7" s="46"/>
      <c r="L7" s="43"/>
      <c r="M7" s="47"/>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row>
    <row r="8" spans="1:40" ht="21.95" customHeight="1">
      <c r="A8" s="44"/>
      <c r="B8" s="48" t="s">
        <v>14</v>
      </c>
      <c r="C8" s="197" t="s">
        <v>71</v>
      </c>
      <c r="D8" s="198"/>
      <c r="E8" s="199"/>
      <c r="F8" s="49"/>
      <c r="G8" s="50" t="s">
        <v>15</v>
      </c>
      <c r="H8" s="200">
        <f ca="1">TODAY()</f>
        <v>42943</v>
      </c>
      <c r="I8" s="201"/>
      <c r="J8" s="202"/>
      <c r="K8" s="46"/>
      <c r="L8" s="43"/>
      <c r="M8" s="47"/>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spans="1:40" ht="21.95" customHeight="1">
      <c r="A9" s="44"/>
      <c r="B9" s="48" t="s">
        <v>16</v>
      </c>
      <c r="C9" s="176">
        <v>3</v>
      </c>
      <c r="D9" s="177"/>
      <c r="E9" s="178"/>
      <c r="F9" s="49"/>
      <c r="G9" s="51" t="s">
        <v>17</v>
      </c>
      <c r="H9" s="203" t="s">
        <v>8</v>
      </c>
      <c r="I9" s="204"/>
      <c r="J9" s="205"/>
      <c r="K9" s="46"/>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row>
    <row r="10" spans="1:40" ht="21.95" customHeight="1">
      <c r="A10" s="44"/>
      <c r="B10" s="48" t="s">
        <v>18</v>
      </c>
      <c r="C10" s="176">
        <v>1</v>
      </c>
      <c r="D10" s="177"/>
      <c r="E10" s="178"/>
      <c r="F10" s="49"/>
      <c r="G10" s="51" t="s">
        <v>19</v>
      </c>
      <c r="H10" s="179" t="s">
        <v>20</v>
      </c>
      <c r="I10" s="180"/>
      <c r="J10" s="181"/>
      <c r="K10" s="46"/>
      <c r="L10" s="43"/>
      <c r="M10" s="52"/>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row>
    <row r="11" spans="1:40" ht="21.95" customHeight="1">
      <c r="A11" s="44"/>
      <c r="B11" s="48" t="s">
        <v>21</v>
      </c>
      <c r="C11" s="182">
        <v>1200</v>
      </c>
      <c r="D11" s="183"/>
      <c r="E11" s="184"/>
      <c r="F11" s="49"/>
      <c r="G11" s="51" t="s">
        <v>22</v>
      </c>
      <c r="H11" s="185">
        <v>42747</v>
      </c>
      <c r="I11" s="186"/>
      <c r="J11" s="187"/>
      <c r="K11" s="46"/>
      <c r="L11" s="43"/>
      <c r="M11" s="47"/>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row>
    <row r="12" spans="1:40" ht="21.95" customHeight="1">
      <c r="A12" s="44"/>
      <c r="B12" s="48" t="s">
        <v>54</v>
      </c>
      <c r="C12" s="176">
        <v>1962</v>
      </c>
      <c r="D12" s="177"/>
      <c r="E12" s="178"/>
      <c r="F12" s="49"/>
      <c r="G12" s="51" t="s">
        <v>55</v>
      </c>
      <c r="H12" s="185" t="s">
        <v>76</v>
      </c>
      <c r="I12" s="186"/>
      <c r="J12" s="187"/>
      <c r="K12" s="46"/>
      <c r="L12" s="43"/>
      <c r="M12" s="47"/>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row>
    <row r="13" spans="1:40" ht="21.95" customHeight="1" thickBot="1">
      <c r="A13" s="44"/>
      <c r="B13" s="53" t="s">
        <v>23</v>
      </c>
      <c r="C13" s="188">
        <v>2</v>
      </c>
      <c r="D13" s="189"/>
      <c r="E13" s="190"/>
      <c r="F13" s="49"/>
      <c r="G13" s="54" t="s">
        <v>56</v>
      </c>
      <c r="H13" s="191" t="s">
        <v>0</v>
      </c>
      <c r="I13" s="192"/>
      <c r="J13" s="193"/>
      <c r="K13" s="46"/>
      <c r="L13" s="43"/>
      <c r="M13" s="47"/>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row>
    <row r="14" spans="1:40" ht="16.5" thickBot="1">
      <c r="A14" s="55"/>
      <c r="B14" s="56"/>
      <c r="C14" s="56"/>
      <c r="D14" s="56"/>
      <c r="E14" s="56"/>
      <c r="F14" s="56"/>
      <c r="G14" s="56"/>
      <c r="H14" s="56"/>
      <c r="I14" s="56"/>
      <c r="J14" s="56"/>
      <c r="K14" s="46"/>
      <c r="L14" s="43"/>
      <c r="M14" s="47"/>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row>
    <row r="15" spans="1:40" ht="19.5" thickBot="1">
      <c r="A15" s="55"/>
      <c r="B15" s="194" t="s">
        <v>24</v>
      </c>
      <c r="C15" s="195"/>
      <c r="D15" s="195"/>
      <c r="E15" s="195"/>
      <c r="F15" s="195"/>
      <c r="G15" s="195"/>
      <c r="H15" s="195"/>
      <c r="I15" s="195"/>
      <c r="J15" s="196"/>
      <c r="K15" s="46"/>
      <c r="L15" s="43"/>
      <c r="M15" s="47"/>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row>
    <row r="16" spans="1:40" ht="15.95" customHeight="1">
      <c r="A16" s="44"/>
      <c r="B16" s="218" t="s">
        <v>25</v>
      </c>
      <c r="C16" s="219"/>
      <c r="D16" s="219"/>
      <c r="E16" s="219"/>
      <c r="F16" s="219"/>
      <c r="G16" s="219"/>
      <c r="H16" s="219"/>
      <c r="I16" s="219"/>
      <c r="J16" s="220"/>
      <c r="K16" s="46"/>
      <c r="L16" s="43"/>
      <c r="M16" s="47"/>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row>
    <row r="17" spans="1:40">
      <c r="A17" s="44"/>
      <c r="B17" s="221"/>
      <c r="C17" s="222"/>
      <c r="D17" s="222"/>
      <c r="E17" s="222"/>
      <c r="F17" s="222"/>
      <c r="G17" s="222"/>
      <c r="H17" s="222"/>
      <c r="I17" s="222"/>
      <c r="J17" s="223"/>
      <c r="K17" s="46"/>
      <c r="L17" s="43"/>
      <c r="M17" s="52"/>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row>
    <row r="18" spans="1:40">
      <c r="A18" s="44"/>
      <c r="B18" s="221"/>
      <c r="C18" s="222"/>
      <c r="D18" s="222"/>
      <c r="E18" s="222"/>
      <c r="F18" s="222"/>
      <c r="G18" s="222"/>
      <c r="H18" s="222"/>
      <c r="I18" s="222"/>
      <c r="J18" s="223"/>
      <c r="K18" s="46"/>
      <c r="L18" s="43"/>
      <c r="M18" s="47"/>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row>
    <row r="19" spans="1:40" ht="16.5" thickBot="1">
      <c r="A19" s="44"/>
      <c r="B19" s="224"/>
      <c r="C19" s="225"/>
      <c r="D19" s="225"/>
      <c r="E19" s="225"/>
      <c r="F19" s="225"/>
      <c r="G19" s="225"/>
      <c r="H19" s="225"/>
      <c r="I19" s="225"/>
      <c r="J19" s="226"/>
      <c r="K19" s="46"/>
      <c r="L19" s="43"/>
      <c r="M19" s="47"/>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row>
    <row r="20" spans="1:40" ht="16.5" thickBot="1">
      <c r="A20" s="44"/>
      <c r="B20" s="57"/>
      <c r="C20" s="57"/>
      <c r="D20" s="57"/>
      <c r="E20" s="57"/>
      <c r="F20" s="57"/>
      <c r="G20" s="57"/>
      <c r="H20" s="57"/>
      <c r="I20" s="57"/>
      <c r="J20" s="57"/>
      <c r="K20" s="46"/>
      <c r="L20" s="43"/>
      <c r="M20" s="58"/>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row>
    <row r="21" spans="1:40" ht="20.100000000000001" customHeight="1" thickBot="1">
      <c r="A21" s="44"/>
      <c r="B21" s="194" t="s">
        <v>32</v>
      </c>
      <c r="C21" s="196"/>
      <c r="D21" s="59"/>
      <c r="E21" s="194" t="s">
        <v>26</v>
      </c>
      <c r="F21" s="195"/>
      <c r="G21" s="196"/>
      <c r="H21" s="59"/>
      <c r="I21" s="194" t="s">
        <v>66</v>
      </c>
      <c r="J21" s="196"/>
      <c r="K21" s="46"/>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row>
    <row r="22" spans="1:40" ht="20.100000000000001" customHeight="1" thickBot="1">
      <c r="A22" s="44"/>
      <c r="B22" s="88" t="s">
        <v>36</v>
      </c>
      <c r="C22" s="89">
        <v>1250</v>
      </c>
      <c r="D22" s="59"/>
      <c r="E22" s="60" t="s">
        <v>27</v>
      </c>
      <c r="F22" s="227">
        <v>180000</v>
      </c>
      <c r="G22" s="228"/>
      <c r="H22" s="62"/>
      <c r="I22" s="60" t="s">
        <v>67</v>
      </c>
      <c r="J22" s="117">
        <v>4000</v>
      </c>
      <c r="K22" s="46"/>
      <c r="L22" s="43"/>
      <c r="M22" s="52"/>
      <c r="N22" s="63"/>
      <c r="O22" s="52"/>
      <c r="P22" s="52"/>
      <c r="Q22" s="52"/>
      <c r="R22" s="43"/>
      <c r="S22" s="43"/>
      <c r="T22" s="43"/>
      <c r="U22" s="43"/>
      <c r="V22" s="43"/>
      <c r="W22" s="43"/>
      <c r="X22" s="43"/>
      <c r="Y22" s="43"/>
      <c r="Z22" s="43"/>
      <c r="AA22" s="43"/>
      <c r="AB22" s="43"/>
      <c r="AC22" s="43"/>
      <c r="AD22" s="43"/>
      <c r="AE22" s="43"/>
      <c r="AF22" s="43"/>
      <c r="AG22" s="43"/>
      <c r="AH22" s="43"/>
      <c r="AI22" s="43"/>
      <c r="AJ22" s="43"/>
      <c r="AK22" s="43"/>
      <c r="AL22" s="43"/>
      <c r="AM22" s="43"/>
      <c r="AN22" s="43"/>
    </row>
    <row r="23" spans="1:40" ht="20.100000000000001" customHeight="1" thickBot="1">
      <c r="A23" s="44"/>
      <c r="B23" s="92"/>
      <c r="C23" s="92"/>
      <c r="D23" s="59"/>
      <c r="E23" s="64" t="s">
        <v>28</v>
      </c>
      <c r="F23" s="216">
        <v>120000</v>
      </c>
      <c r="G23" s="217"/>
      <c r="H23" s="66"/>
      <c r="I23" s="64" t="s">
        <v>74</v>
      </c>
      <c r="J23" s="61">
        <v>0.7</v>
      </c>
      <c r="K23" s="46"/>
      <c r="L23" s="43"/>
      <c r="M23" s="52"/>
      <c r="N23" s="52"/>
      <c r="O23" s="52"/>
      <c r="P23" s="52"/>
      <c r="Q23" s="52"/>
      <c r="R23" s="43"/>
      <c r="S23" s="43"/>
      <c r="T23" s="43"/>
      <c r="U23" s="43"/>
      <c r="V23" s="43"/>
      <c r="W23" s="43"/>
      <c r="X23" s="43"/>
      <c r="Y23" s="43"/>
      <c r="Z23" s="43"/>
      <c r="AA23" s="43"/>
      <c r="AB23" s="43"/>
      <c r="AC23" s="43"/>
      <c r="AD23" s="43"/>
      <c r="AE23" s="43"/>
      <c r="AF23" s="43"/>
      <c r="AG23" s="43"/>
      <c r="AH23" s="43"/>
      <c r="AI23" s="43"/>
      <c r="AJ23" s="43"/>
      <c r="AK23" s="43"/>
      <c r="AL23" s="43"/>
      <c r="AM23" s="43"/>
      <c r="AN23" s="43"/>
    </row>
    <row r="24" spans="1:40" ht="20.100000000000001" customHeight="1" thickBot="1">
      <c r="A24" s="44"/>
      <c r="B24" s="194" t="s">
        <v>26</v>
      </c>
      <c r="C24" s="196"/>
      <c r="D24" s="59"/>
      <c r="E24" s="67" t="s">
        <v>29</v>
      </c>
      <c r="F24" s="216">
        <v>2500</v>
      </c>
      <c r="G24" s="217"/>
      <c r="H24" s="69"/>
      <c r="I24" s="64" t="s">
        <v>37</v>
      </c>
      <c r="J24" s="65">
        <v>360</v>
      </c>
      <c r="K24" s="46"/>
      <c r="L24" s="43"/>
      <c r="M24" s="77"/>
      <c r="N24" s="77"/>
      <c r="O24" s="52"/>
      <c r="P24" s="52"/>
      <c r="Q24" s="52"/>
      <c r="R24" s="43"/>
      <c r="S24" s="43"/>
      <c r="T24" s="43"/>
      <c r="U24" s="43"/>
      <c r="V24" s="43"/>
      <c r="W24" s="43"/>
      <c r="X24" s="43"/>
      <c r="Y24" s="43"/>
      <c r="Z24" s="43"/>
      <c r="AA24" s="43"/>
      <c r="AB24" s="43"/>
      <c r="AC24" s="43"/>
      <c r="AD24" s="43"/>
      <c r="AE24" s="43"/>
      <c r="AF24" s="43"/>
      <c r="AG24" s="43"/>
      <c r="AH24" s="43"/>
      <c r="AI24" s="43"/>
      <c r="AJ24" s="43"/>
      <c r="AK24" s="43"/>
      <c r="AL24" s="43"/>
      <c r="AM24" s="43"/>
      <c r="AN24" s="43"/>
    </row>
    <row r="25" spans="1:40" ht="20.100000000000001" customHeight="1" thickBot="1">
      <c r="A25" s="44"/>
      <c r="B25" s="60" t="s">
        <v>34</v>
      </c>
      <c r="C25" s="61">
        <v>0.05</v>
      </c>
      <c r="D25" s="59"/>
      <c r="E25" s="67" t="s">
        <v>30</v>
      </c>
      <c r="F25" s="216">
        <v>860</v>
      </c>
      <c r="G25" s="217"/>
      <c r="H25" s="59"/>
      <c r="I25" s="90" t="s">
        <v>50</v>
      </c>
      <c r="J25" s="68">
        <v>5.5E-2</v>
      </c>
      <c r="K25" s="46"/>
      <c r="L25" s="43"/>
      <c r="M25" s="76"/>
      <c r="N25" s="76"/>
      <c r="O25" s="76"/>
      <c r="P25" s="76"/>
      <c r="Q25" s="76"/>
      <c r="R25" s="43"/>
      <c r="S25" s="43"/>
      <c r="T25" s="43"/>
      <c r="U25" s="43"/>
      <c r="V25" s="43"/>
      <c r="W25" s="43"/>
      <c r="X25" s="43"/>
      <c r="Y25" s="43"/>
      <c r="Z25" s="43"/>
      <c r="AA25" s="43"/>
      <c r="AB25" s="43"/>
      <c r="AC25" s="43"/>
      <c r="AD25" s="43"/>
      <c r="AE25" s="43"/>
      <c r="AF25" s="43"/>
      <c r="AG25" s="43"/>
      <c r="AH25" s="43"/>
      <c r="AI25" s="43"/>
      <c r="AJ25" s="43"/>
      <c r="AK25" s="43"/>
      <c r="AL25" s="43"/>
      <c r="AM25" s="43"/>
      <c r="AN25" s="43"/>
    </row>
    <row r="26" spans="1:40" ht="20.100000000000001" customHeight="1" thickBot="1">
      <c r="A26" s="44"/>
      <c r="B26" s="64" t="s">
        <v>35</v>
      </c>
      <c r="C26" s="85">
        <v>0.05</v>
      </c>
      <c r="D26" s="59"/>
      <c r="E26" s="78" t="s">
        <v>31</v>
      </c>
      <c r="F26" s="229">
        <v>50</v>
      </c>
      <c r="G26" s="230"/>
      <c r="H26" s="62"/>
      <c r="I26" s="92"/>
      <c r="J26" s="92"/>
      <c r="K26" s="82"/>
      <c r="L26" s="43"/>
      <c r="M26" s="76"/>
      <c r="N26" s="76"/>
      <c r="O26" s="76"/>
      <c r="P26" s="76"/>
      <c r="Q26" s="76"/>
      <c r="R26" s="43"/>
      <c r="S26" s="43"/>
      <c r="T26" s="43"/>
      <c r="U26" s="43"/>
      <c r="V26" s="43"/>
      <c r="W26" s="43"/>
      <c r="X26" s="43"/>
      <c r="Y26" s="43"/>
      <c r="Z26" s="43"/>
      <c r="AA26" s="43"/>
      <c r="AB26" s="43"/>
      <c r="AC26" s="43"/>
      <c r="AD26" s="43"/>
      <c r="AE26" s="43"/>
      <c r="AF26" s="43"/>
      <c r="AG26" s="43"/>
      <c r="AH26" s="43"/>
      <c r="AI26" s="43"/>
      <c r="AJ26" s="43"/>
      <c r="AK26" s="43"/>
      <c r="AL26" s="43"/>
      <c r="AM26" s="43"/>
      <c r="AN26" s="43"/>
    </row>
    <row r="27" spans="1:40" ht="20.100000000000001" customHeight="1" thickBot="1">
      <c r="A27" s="44"/>
      <c r="B27" s="90" t="s">
        <v>33</v>
      </c>
      <c r="C27" s="86">
        <v>0.08</v>
      </c>
      <c r="D27" s="59"/>
      <c r="E27" s="215"/>
      <c r="F27" s="215"/>
      <c r="G27" s="80"/>
      <c r="H27" s="70"/>
      <c r="I27" s="92"/>
      <c r="J27" s="92"/>
      <c r="K27" s="83"/>
      <c r="L27" s="43"/>
      <c r="M27" s="52"/>
      <c r="N27" s="52"/>
      <c r="O27" s="52"/>
      <c r="P27" s="52"/>
      <c r="Q27" s="52"/>
      <c r="R27" s="43"/>
      <c r="S27" s="43"/>
      <c r="T27" s="43"/>
      <c r="U27" s="43"/>
      <c r="V27" s="43"/>
      <c r="W27" s="43"/>
      <c r="X27" s="43"/>
      <c r="Y27" s="43"/>
      <c r="Z27" s="43"/>
      <c r="AA27" s="43"/>
      <c r="AB27" s="43"/>
      <c r="AC27" s="43"/>
      <c r="AD27" s="43"/>
      <c r="AE27" s="43"/>
      <c r="AF27" s="43"/>
      <c r="AG27" s="43"/>
      <c r="AH27" s="43"/>
      <c r="AI27" s="43"/>
      <c r="AJ27" s="43"/>
      <c r="AK27" s="43"/>
      <c r="AL27" s="43"/>
      <c r="AM27" s="43"/>
      <c r="AN27" s="43"/>
    </row>
    <row r="28" spans="1:40" ht="20.100000000000001" customHeight="1">
      <c r="A28" s="44"/>
      <c r="B28" s="92"/>
      <c r="C28" s="92"/>
      <c r="D28" s="59"/>
      <c r="E28" s="92"/>
      <c r="F28" s="92"/>
      <c r="G28" s="92"/>
      <c r="H28" s="59"/>
      <c r="I28" s="79"/>
      <c r="J28" s="81"/>
      <c r="K28" s="84"/>
      <c r="L28" s="43"/>
      <c r="M28" s="52"/>
      <c r="N28" s="52"/>
      <c r="O28" s="52"/>
      <c r="P28" s="52"/>
      <c r="Q28" s="52"/>
      <c r="R28" s="43"/>
      <c r="S28" s="43"/>
      <c r="T28" s="43"/>
      <c r="U28" s="43"/>
      <c r="V28" s="43"/>
      <c r="W28" s="43"/>
      <c r="X28" s="43"/>
      <c r="Y28" s="43"/>
      <c r="Z28" s="43"/>
      <c r="AA28" s="43"/>
      <c r="AB28" s="43"/>
      <c r="AC28" s="43"/>
      <c r="AD28" s="43"/>
      <c r="AE28" s="43"/>
      <c r="AF28" s="43"/>
      <c r="AG28" s="43"/>
      <c r="AH28" s="43"/>
      <c r="AI28" s="43"/>
      <c r="AJ28" s="43"/>
      <c r="AK28" s="43"/>
      <c r="AL28" s="43"/>
      <c r="AM28" s="43"/>
      <c r="AN28" s="43"/>
    </row>
    <row r="29" spans="1:40" ht="20.100000000000001" customHeight="1" thickBot="1">
      <c r="A29" s="71"/>
      <c r="B29" s="167"/>
      <c r="C29" s="167"/>
      <c r="D29" s="167"/>
      <c r="E29" s="72"/>
      <c r="F29" s="72"/>
      <c r="G29" s="72"/>
      <c r="H29" s="168"/>
      <c r="I29" s="169"/>
      <c r="J29" s="170"/>
      <c r="K29" s="73"/>
      <c r="L29" s="43"/>
      <c r="M29" s="52"/>
      <c r="N29" s="52"/>
      <c r="O29" s="52"/>
      <c r="P29" s="52"/>
      <c r="Q29" s="52"/>
      <c r="R29" s="43"/>
      <c r="S29" s="43"/>
      <c r="T29" s="43"/>
      <c r="U29" s="43"/>
      <c r="V29" s="43"/>
      <c r="W29" s="43"/>
      <c r="X29" s="43"/>
      <c r="Y29" s="43"/>
      <c r="Z29" s="43"/>
      <c r="AA29" s="43"/>
      <c r="AB29" s="43"/>
      <c r="AC29" s="43"/>
      <c r="AD29" s="43"/>
      <c r="AE29" s="43"/>
      <c r="AF29" s="43"/>
      <c r="AG29" s="43"/>
      <c r="AH29" s="43"/>
      <c r="AI29" s="43"/>
      <c r="AJ29" s="43"/>
      <c r="AK29" s="43"/>
      <c r="AL29" s="43"/>
      <c r="AM29" s="43"/>
      <c r="AN29" s="43"/>
    </row>
    <row r="30" spans="1:40" s="43" customFormat="1" ht="16.5" thickTop="1">
      <c r="A30" s="52"/>
      <c r="B30" s="52"/>
      <c r="C30" s="52"/>
      <c r="D30" s="52"/>
      <c r="E30" s="52"/>
      <c r="F30" s="74"/>
      <c r="G30" s="52"/>
      <c r="H30" s="52"/>
      <c r="I30" s="52"/>
      <c r="J30" s="52"/>
      <c r="K30" s="52"/>
    </row>
    <row r="31" spans="1:40" s="43" customFormat="1">
      <c r="A31" s="52"/>
      <c r="B31" s="52"/>
      <c r="C31" s="52"/>
      <c r="D31" s="52"/>
      <c r="E31" s="52"/>
      <c r="F31" s="74"/>
      <c r="G31" s="52"/>
      <c r="H31" s="52"/>
      <c r="I31" s="52"/>
      <c r="J31" s="52"/>
      <c r="K31" s="52"/>
    </row>
    <row r="32" spans="1:40" s="43" customFormat="1" ht="18.75">
      <c r="A32" s="52"/>
      <c r="B32" s="172" t="s">
        <v>72</v>
      </c>
      <c r="C32" s="52"/>
      <c r="D32" s="52"/>
      <c r="E32" s="52"/>
      <c r="F32" s="74"/>
      <c r="G32" s="52"/>
      <c r="H32" s="52"/>
      <c r="I32" s="52"/>
      <c r="J32" s="52"/>
      <c r="K32" s="52"/>
    </row>
    <row r="33" spans="1:40">
      <c r="A33" s="43"/>
      <c r="B33" s="206" t="s">
        <v>73</v>
      </c>
      <c r="C33" s="207"/>
      <c r="D33" s="207"/>
      <c r="E33" s="207"/>
      <c r="F33" s="207"/>
      <c r="G33" s="207"/>
      <c r="H33" s="207"/>
      <c r="I33" s="207"/>
      <c r="J33" s="208"/>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row>
    <row r="34" spans="1:40">
      <c r="A34" s="43"/>
      <c r="B34" s="209"/>
      <c r="C34" s="210"/>
      <c r="D34" s="210"/>
      <c r="E34" s="210"/>
      <c r="F34" s="210"/>
      <c r="G34" s="210"/>
      <c r="H34" s="210"/>
      <c r="I34" s="210"/>
      <c r="J34" s="211"/>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row>
    <row r="35" spans="1:40">
      <c r="A35" s="43"/>
      <c r="B35" s="209"/>
      <c r="C35" s="210"/>
      <c r="D35" s="210"/>
      <c r="E35" s="210"/>
      <c r="F35" s="210"/>
      <c r="G35" s="210"/>
      <c r="H35" s="210"/>
      <c r="I35" s="210"/>
      <c r="J35" s="211"/>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row>
    <row r="36" spans="1:40">
      <c r="A36" s="43"/>
      <c r="B36" s="212"/>
      <c r="C36" s="213"/>
      <c r="D36" s="213"/>
      <c r="E36" s="213"/>
      <c r="F36" s="213"/>
      <c r="G36" s="213"/>
      <c r="H36" s="213"/>
      <c r="I36" s="213"/>
      <c r="J36" s="214"/>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row>
    <row r="37" spans="1:40" ht="21.75">
      <c r="A37" s="43"/>
      <c r="B37" s="43"/>
      <c r="C37" s="43"/>
      <c r="D37" s="43"/>
      <c r="E37" s="43"/>
      <c r="G37" s="171"/>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row>
    <row r="38" spans="1:40">
      <c r="A38" s="43"/>
      <c r="B38" s="43"/>
      <c r="C38" s="43"/>
      <c r="D38" s="43"/>
      <c r="E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row>
    <row r="39" spans="1:40">
      <c r="A39" s="43"/>
      <c r="B39" s="43"/>
      <c r="C39" s="43"/>
      <c r="D39" s="43"/>
      <c r="E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row>
    <row r="40" spans="1:40">
      <c r="A40" s="43"/>
      <c r="B40" s="43"/>
      <c r="C40" s="43"/>
      <c r="D40" s="43"/>
      <c r="E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row>
    <row r="41" spans="1:40">
      <c r="A41" s="43"/>
      <c r="B41" s="43"/>
      <c r="C41" s="43"/>
      <c r="D41" s="43"/>
      <c r="E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row>
    <row r="42" spans="1:40">
      <c r="A42" s="43"/>
      <c r="B42" s="43"/>
      <c r="C42" s="43"/>
      <c r="D42" s="43"/>
      <c r="E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row>
    <row r="43" spans="1:40">
      <c r="A43" s="43"/>
      <c r="B43" s="43"/>
      <c r="C43" s="43"/>
      <c r="D43" s="43"/>
      <c r="E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row>
    <row r="44" spans="1:40">
      <c r="A44" s="43"/>
      <c r="B44" s="43"/>
      <c r="C44" s="43"/>
      <c r="D44" s="43"/>
      <c r="E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row>
    <row r="45" spans="1:40">
      <c r="A45" s="43"/>
      <c r="B45" s="43"/>
      <c r="C45" s="43"/>
      <c r="D45" s="43"/>
      <c r="E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row>
    <row r="46" spans="1:40">
      <c r="A46" s="43"/>
      <c r="B46" s="43"/>
      <c r="C46" s="43"/>
      <c r="D46" s="43"/>
      <c r="E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row>
    <row r="47" spans="1:40">
      <c r="A47" s="43"/>
      <c r="B47" s="43"/>
      <c r="C47" s="43"/>
      <c r="D47" s="43"/>
      <c r="E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row>
    <row r="48" spans="1:40">
      <c r="A48" s="43"/>
      <c r="B48" s="43"/>
      <c r="C48" s="43"/>
      <c r="D48" s="43"/>
      <c r="E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row>
    <row r="49" spans="1:40">
      <c r="A49" s="43"/>
      <c r="B49" s="43"/>
      <c r="C49" s="43"/>
      <c r="D49" s="43"/>
      <c r="E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row>
    <row r="50" spans="1:40">
      <c r="A50" s="43"/>
      <c r="B50" s="43"/>
      <c r="C50" s="43"/>
      <c r="D50" s="43"/>
      <c r="E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row>
    <row r="51" spans="1:40">
      <c r="A51" s="43"/>
      <c r="B51" s="43"/>
      <c r="C51" s="43"/>
      <c r="D51" s="43"/>
      <c r="E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row>
    <row r="52" spans="1:40">
      <c r="A52" s="43"/>
      <c r="B52" s="43"/>
      <c r="C52" s="43"/>
      <c r="D52" s="43"/>
      <c r="E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row>
    <row r="53" spans="1:40">
      <c r="A53" s="43"/>
      <c r="B53" s="43"/>
      <c r="C53" s="43"/>
      <c r="D53" s="43"/>
      <c r="E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row>
    <row r="54" spans="1:40">
      <c r="A54" s="43"/>
      <c r="B54" s="43"/>
      <c r="C54" s="43"/>
      <c r="D54" s="43"/>
      <c r="E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row>
    <row r="55" spans="1:40">
      <c r="A55" s="43"/>
      <c r="B55" s="43"/>
      <c r="C55" s="43"/>
      <c r="D55" s="43"/>
      <c r="E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row>
    <row r="56" spans="1:40">
      <c r="A56" s="43"/>
      <c r="B56" s="43"/>
      <c r="C56" s="43"/>
      <c r="D56" s="43"/>
      <c r="E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row>
    <row r="57" spans="1:40">
      <c r="A57" s="43"/>
      <c r="B57" s="43"/>
      <c r="C57" s="43"/>
      <c r="D57" s="43"/>
      <c r="E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row>
    <row r="58" spans="1:40">
      <c r="A58" s="43"/>
      <c r="B58" s="43"/>
      <c r="C58" s="43"/>
      <c r="D58" s="43"/>
      <c r="E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row>
    <row r="59" spans="1:40">
      <c r="A59" s="43"/>
      <c r="B59" s="43"/>
      <c r="C59" s="43"/>
      <c r="D59" s="43"/>
      <c r="E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row>
    <row r="60" spans="1:40">
      <c r="A60" s="43"/>
      <c r="B60" s="43"/>
      <c r="C60" s="43"/>
      <c r="D60" s="43"/>
      <c r="E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row>
    <row r="61" spans="1:40">
      <c r="A61" s="43"/>
      <c r="B61" s="43"/>
      <c r="C61" s="43"/>
      <c r="D61" s="43"/>
      <c r="E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row>
    <row r="62" spans="1:40">
      <c r="A62" s="43"/>
      <c r="B62" s="43"/>
      <c r="C62" s="43"/>
      <c r="D62" s="43"/>
      <c r="E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row>
    <row r="63" spans="1:40">
      <c r="A63" s="43"/>
      <c r="B63" s="43"/>
      <c r="C63" s="43"/>
      <c r="D63" s="43"/>
      <c r="E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row>
    <row r="64" spans="1:40">
      <c r="A64" s="43"/>
      <c r="B64" s="43"/>
      <c r="C64" s="43"/>
      <c r="D64" s="43"/>
      <c r="E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row>
    <row r="65" spans="1:40">
      <c r="A65" s="43"/>
      <c r="B65" s="43"/>
      <c r="C65" s="43"/>
      <c r="D65" s="43"/>
      <c r="E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row>
    <row r="66" spans="1:40">
      <c r="A66" s="43"/>
      <c r="B66" s="43"/>
      <c r="C66" s="43"/>
      <c r="D66" s="43"/>
      <c r="E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row>
    <row r="67" spans="1:40">
      <c r="A67" s="43"/>
      <c r="B67" s="43"/>
      <c r="C67" s="43"/>
      <c r="D67" s="43"/>
      <c r="E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row>
    <row r="68" spans="1:40">
      <c r="A68" s="43"/>
      <c r="B68" s="43"/>
      <c r="C68" s="43"/>
      <c r="D68" s="43"/>
      <c r="E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row>
    <row r="69" spans="1:40">
      <c r="A69" s="43"/>
      <c r="B69" s="43"/>
      <c r="C69" s="43"/>
      <c r="D69" s="43"/>
      <c r="E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row>
    <row r="70" spans="1:40">
      <c r="A70" s="43"/>
      <c r="B70" s="43"/>
      <c r="C70" s="43"/>
      <c r="D70" s="43"/>
      <c r="E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row>
    <row r="71" spans="1:40">
      <c r="A71" s="43"/>
      <c r="B71" s="43"/>
      <c r="C71" s="43"/>
      <c r="D71" s="43"/>
      <c r="E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row>
    <row r="72" spans="1:40">
      <c r="A72" s="43"/>
      <c r="B72" s="43"/>
      <c r="C72" s="43"/>
      <c r="D72" s="43"/>
      <c r="E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row>
    <row r="73" spans="1:40">
      <c r="A73" s="43"/>
      <c r="B73" s="43"/>
      <c r="C73" s="43"/>
      <c r="D73" s="43"/>
      <c r="E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row>
    <row r="74" spans="1:40">
      <c r="A74" s="43"/>
      <c r="B74" s="43"/>
      <c r="C74" s="43"/>
      <c r="D74" s="43"/>
      <c r="E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row>
    <row r="75" spans="1:40">
      <c r="A75" s="43"/>
      <c r="B75" s="43"/>
      <c r="C75" s="43"/>
      <c r="D75" s="43"/>
      <c r="E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row>
    <row r="76" spans="1:40">
      <c r="A76" s="43"/>
      <c r="B76" s="43"/>
      <c r="C76" s="43"/>
      <c r="D76" s="43"/>
      <c r="E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row>
    <row r="77" spans="1:40">
      <c r="A77" s="43"/>
      <c r="B77" s="43"/>
      <c r="C77" s="43"/>
      <c r="D77" s="43"/>
      <c r="E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row>
    <row r="78" spans="1:40">
      <c r="A78" s="43"/>
      <c r="B78" s="43"/>
      <c r="C78" s="43"/>
      <c r="D78" s="43"/>
      <c r="E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row>
    <row r="79" spans="1:40">
      <c r="A79" s="43"/>
      <c r="B79" s="43"/>
      <c r="C79" s="43"/>
      <c r="D79" s="43"/>
      <c r="E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row>
    <row r="80" spans="1:40">
      <c r="A80" s="43"/>
      <c r="B80" s="43"/>
      <c r="C80" s="43"/>
      <c r="D80" s="43"/>
      <c r="E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row>
    <row r="81" spans="1:40">
      <c r="A81" s="43"/>
      <c r="B81" s="43"/>
      <c r="C81" s="43"/>
      <c r="D81" s="43"/>
      <c r="E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row>
    <row r="82" spans="1:40">
      <c r="A82" s="43"/>
      <c r="B82" s="43"/>
      <c r="C82" s="43"/>
      <c r="D82" s="43"/>
      <c r="E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row>
    <row r="83" spans="1:40">
      <c r="A83" s="43"/>
      <c r="B83" s="43"/>
      <c r="C83" s="43"/>
      <c r="D83" s="43"/>
      <c r="E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row>
    <row r="84" spans="1:40">
      <c r="A84" s="43"/>
      <c r="B84" s="43"/>
      <c r="C84" s="43"/>
      <c r="D84" s="43"/>
      <c r="E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row>
    <row r="85" spans="1:40">
      <c r="A85" s="43"/>
      <c r="B85" s="43"/>
      <c r="C85" s="43"/>
      <c r="D85" s="43"/>
      <c r="E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row>
    <row r="86" spans="1:40">
      <c r="A86" s="43"/>
      <c r="B86" s="43"/>
      <c r="C86" s="43"/>
      <c r="D86" s="43"/>
      <c r="E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row>
    <row r="87" spans="1:40">
      <c r="A87" s="43"/>
      <c r="B87" s="43"/>
      <c r="C87" s="43"/>
      <c r="D87" s="43"/>
      <c r="E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row>
    <row r="88" spans="1:40">
      <c r="A88" s="43"/>
      <c r="B88" s="43"/>
      <c r="C88" s="43"/>
      <c r="D88" s="43"/>
      <c r="E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row>
    <row r="89" spans="1:40">
      <c r="A89" s="43"/>
      <c r="B89" s="43"/>
      <c r="C89" s="43"/>
      <c r="D89" s="43"/>
      <c r="E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row>
    <row r="90" spans="1:40">
      <c r="A90" s="43"/>
      <c r="B90" s="43"/>
      <c r="C90" s="43"/>
      <c r="D90" s="43"/>
      <c r="E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row>
    <row r="91" spans="1:40">
      <c r="A91" s="43"/>
      <c r="B91" s="43"/>
      <c r="C91" s="43"/>
      <c r="D91" s="43"/>
      <c r="E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row>
    <row r="92" spans="1:40">
      <c r="A92" s="43"/>
      <c r="B92" s="43"/>
      <c r="C92" s="43"/>
      <c r="D92" s="43"/>
      <c r="E92" s="43"/>
      <c r="G92" s="43"/>
      <c r="H92" s="43"/>
      <c r="I92" s="43"/>
      <c r="J92" s="43"/>
      <c r="K92" s="43"/>
    </row>
  </sheetData>
  <sheetProtection sheet="1" objects="1" scenarios="1"/>
  <mergeCells count="27">
    <mergeCell ref="B15:J15"/>
    <mergeCell ref="B33:J36"/>
    <mergeCell ref="E27:F27"/>
    <mergeCell ref="F23:G23"/>
    <mergeCell ref="F24:G24"/>
    <mergeCell ref="F25:G25"/>
    <mergeCell ref="B16:J19"/>
    <mergeCell ref="B21:C21"/>
    <mergeCell ref="E21:G21"/>
    <mergeCell ref="I21:J21"/>
    <mergeCell ref="F22:G22"/>
    <mergeCell ref="F26:G26"/>
    <mergeCell ref="B24:C24"/>
    <mergeCell ref="B7:E7"/>
    <mergeCell ref="G7:J7"/>
    <mergeCell ref="C8:E8"/>
    <mergeCell ref="H8:J8"/>
    <mergeCell ref="C9:E9"/>
    <mergeCell ref="H9:J9"/>
    <mergeCell ref="C10:E10"/>
    <mergeCell ref="H10:J10"/>
    <mergeCell ref="C11:E11"/>
    <mergeCell ref="H11:J11"/>
    <mergeCell ref="C13:E13"/>
    <mergeCell ref="H13:J13"/>
    <mergeCell ref="H12:J12"/>
    <mergeCell ref="C12:E12"/>
  </mergeCells>
  <dataValidations count="1">
    <dataValidation type="list" allowBlank="1" showInputMessage="1" showErrorMessage="1" sqref="H9">
      <formula1>$AG$2:$AG$3</formula1>
    </dataValidation>
  </dataValidations>
  <pageMargins left="0" right="0" top="0" bottom="0" header="0" footer="0"/>
  <pageSetup orientation="landscape" horizontalDpi="0" verticalDpi="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75"/>
  <sheetViews>
    <sheetView showGridLines="0" tabSelected="1" topLeftCell="B1" zoomScaleNormal="100" workbookViewId="0">
      <selection activeCell="J10" sqref="J10"/>
    </sheetView>
  </sheetViews>
  <sheetFormatPr defaultColWidth="9.125" defaultRowHeight="12.75" outlineLevelRow="1"/>
  <cols>
    <col min="1" max="1" width="3.375" style="21" customWidth="1"/>
    <col min="2" max="2" width="36.625" style="22" customWidth="1"/>
    <col min="3" max="4" width="18.375" style="22" customWidth="1"/>
    <col min="5" max="5" width="3.375" style="25" customWidth="1"/>
    <col min="6" max="6" width="36.625" style="26" customWidth="1"/>
    <col min="7" max="7" width="18.375" style="26" customWidth="1"/>
    <col min="8" max="8" width="18.375" style="22" customWidth="1"/>
    <col min="9" max="9" width="3.375" style="27" customWidth="1"/>
    <col min="10" max="13" width="9.125" style="24" customWidth="1"/>
    <col min="14" max="15" width="9.125" style="21" customWidth="1"/>
    <col min="16" max="55" width="9.125" style="21"/>
    <col min="56" max="56" width="13.375" style="21" bestFit="1" customWidth="1"/>
    <col min="57" max="16384" width="9.125" style="21"/>
  </cols>
  <sheetData>
    <row r="1" spans="1:56" s="1" customFormat="1" ht="72" customHeight="1" thickBot="1">
      <c r="B1" s="2" t="s">
        <v>78</v>
      </c>
      <c r="C1" s="3"/>
      <c r="D1" s="3"/>
      <c r="E1" s="3"/>
      <c r="F1" s="3"/>
      <c r="G1" s="4"/>
      <c r="H1" s="4"/>
      <c r="I1" s="4"/>
      <c r="J1" s="3"/>
      <c r="K1" s="3"/>
      <c r="L1" s="3"/>
      <c r="M1" s="3"/>
    </row>
    <row r="2" spans="1:56" s="5" customFormat="1" ht="15" customHeight="1" thickBot="1">
      <c r="A2" s="122"/>
      <c r="B2" s="7"/>
      <c r="C2" s="8"/>
      <c r="D2" s="8"/>
      <c r="E2" s="8"/>
      <c r="F2" s="7"/>
      <c r="G2" s="9"/>
      <c r="H2" s="123"/>
      <c r="I2" s="124"/>
      <c r="J2" s="6"/>
      <c r="K2" s="6"/>
      <c r="L2" s="6"/>
      <c r="M2" s="6"/>
      <c r="BC2" s="10"/>
      <c r="BD2" s="10"/>
    </row>
    <row r="3" spans="1:56" s="11" customFormat="1" ht="23.1" customHeight="1" thickBot="1">
      <c r="A3" s="125"/>
      <c r="B3" s="247" t="s">
        <v>69</v>
      </c>
      <c r="C3" s="248"/>
      <c r="D3" s="248"/>
      <c r="E3" s="126"/>
      <c r="F3" s="127"/>
      <c r="G3" s="128"/>
      <c r="H3" s="129"/>
      <c r="I3" s="130"/>
      <c r="K3" s="91"/>
      <c r="L3" s="91"/>
    </row>
    <row r="4" spans="1:56" s="11" customFormat="1" ht="23.1" customHeight="1">
      <c r="A4" s="125"/>
      <c r="B4" s="235" t="s">
        <v>38</v>
      </c>
      <c r="C4" s="236"/>
      <c r="D4" s="131">
        <f>SUM('Deal Inputs'!C22*12)</f>
        <v>15000</v>
      </c>
      <c r="E4" s="132"/>
      <c r="F4" s="235" t="s">
        <v>51</v>
      </c>
      <c r="G4" s="236"/>
      <c r="H4" s="139">
        <f>SUM('Deal Inputs'!F24:G24)</f>
        <v>2500</v>
      </c>
      <c r="I4" s="130"/>
      <c r="K4" s="91"/>
      <c r="L4" s="91"/>
    </row>
    <row r="5" spans="1:56" s="11" customFormat="1" ht="23.1" customHeight="1">
      <c r="A5" s="125"/>
      <c r="B5" s="237" t="s">
        <v>1</v>
      </c>
      <c r="C5" s="238"/>
      <c r="D5" s="131">
        <f>'Deal Inputs'!F23</f>
        <v>120000</v>
      </c>
      <c r="E5" s="132"/>
      <c r="F5" s="237" t="s">
        <v>63</v>
      </c>
      <c r="G5" s="238"/>
      <c r="H5" s="133">
        <f>SUM('Deal Inputs'!F25)</f>
        <v>860</v>
      </c>
      <c r="I5" s="130"/>
      <c r="K5" s="91"/>
      <c r="L5" s="91"/>
    </row>
    <row r="6" spans="1:56" s="11" customFormat="1" ht="23.1" customHeight="1">
      <c r="A6" s="125"/>
      <c r="B6" s="134" t="s">
        <v>61</v>
      </c>
      <c r="C6" s="135"/>
      <c r="D6" s="136">
        <f>SUM(D4*'Deal Inputs'!C25)</f>
        <v>750</v>
      </c>
      <c r="E6" s="132"/>
      <c r="F6" s="137" t="s">
        <v>64</v>
      </c>
      <c r="G6" s="138"/>
      <c r="H6" s="139">
        <f>SUM('Deal Inputs'!F26*12)</f>
        <v>600</v>
      </c>
      <c r="I6" s="130"/>
      <c r="K6" s="91"/>
      <c r="L6" s="91"/>
    </row>
    <row r="7" spans="1:56" s="11" customFormat="1" ht="23.1" customHeight="1" thickBot="1">
      <c r="A7" s="125"/>
      <c r="B7" s="249" t="s">
        <v>62</v>
      </c>
      <c r="C7" s="250"/>
      <c r="D7" s="140">
        <f>SUM(D4*'Deal Inputs'!C26)</f>
        <v>750</v>
      </c>
      <c r="E7" s="141"/>
      <c r="F7" s="142" t="s">
        <v>65</v>
      </c>
      <c r="G7" s="143"/>
      <c r="H7" s="144">
        <f>SUM('Deal Inputs'!C27*D4)</f>
        <v>1200</v>
      </c>
      <c r="I7" s="130"/>
      <c r="K7" s="91"/>
      <c r="L7" s="91"/>
    </row>
    <row r="8" spans="1:56" s="11" customFormat="1" ht="23.1" customHeight="1">
      <c r="A8" s="125"/>
      <c r="B8" s="87"/>
      <c r="C8" s="87"/>
      <c r="D8" s="145"/>
      <c r="E8" s="145"/>
      <c r="F8" s="87"/>
      <c r="G8" s="87"/>
      <c r="H8" s="146"/>
      <c r="I8" s="130"/>
      <c r="K8" s="91"/>
      <c r="L8" s="91"/>
    </row>
    <row r="9" spans="1:56" s="12" customFormat="1" ht="23.1" customHeight="1" thickBot="1">
      <c r="A9" s="125"/>
      <c r="B9" s="87"/>
      <c r="C9" s="87"/>
      <c r="D9" s="145"/>
      <c r="E9" s="145"/>
      <c r="F9" s="87"/>
      <c r="G9" s="87"/>
      <c r="H9" s="146"/>
      <c r="I9" s="147"/>
      <c r="J9" s="13"/>
      <c r="K9" s="11"/>
      <c r="L9" s="11"/>
      <c r="M9" s="11"/>
    </row>
    <row r="10" spans="1:56" s="12" customFormat="1" ht="39" customHeight="1" thickTop="1" thickBot="1">
      <c r="A10" s="125"/>
      <c r="B10" s="251" t="s">
        <v>39</v>
      </c>
      <c r="C10" s="252"/>
      <c r="D10" s="253"/>
      <c r="E10" s="113"/>
      <c r="F10" s="251" t="s">
        <v>40</v>
      </c>
      <c r="G10" s="252"/>
      <c r="H10" s="253"/>
      <c r="I10" s="130"/>
      <c r="J10" s="14"/>
      <c r="K10" s="14"/>
      <c r="L10" s="11"/>
      <c r="M10" s="11"/>
    </row>
    <row r="11" spans="1:56" s="17" customFormat="1" ht="23.1" customHeight="1" thickTop="1">
      <c r="A11" s="148"/>
      <c r="B11" s="263" t="s">
        <v>49</v>
      </c>
      <c r="C11" s="264"/>
      <c r="D11" s="265"/>
      <c r="E11" s="149"/>
      <c r="F11" s="263" t="s">
        <v>48</v>
      </c>
      <c r="G11" s="264"/>
      <c r="H11" s="265"/>
      <c r="I11" s="150"/>
      <c r="J11" s="15"/>
      <c r="K11" s="16"/>
      <c r="L11" s="16"/>
      <c r="M11" s="16"/>
    </row>
    <row r="12" spans="1:56" s="20" customFormat="1" ht="36" customHeight="1" thickBot="1">
      <c r="A12" s="151"/>
      <c r="B12" s="254">
        <f>SUM(B14/D5)</f>
        <v>8.2000000000000003E-2</v>
      </c>
      <c r="C12" s="255"/>
      <c r="D12" s="256"/>
      <c r="E12" s="152"/>
      <c r="F12" s="257">
        <f>SUM(H17/H31)</f>
        <v>0.11435241295617253</v>
      </c>
      <c r="G12" s="258"/>
      <c r="H12" s="259"/>
      <c r="I12" s="153"/>
      <c r="J12" s="18"/>
      <c r="K12" s="19"/>
      <c r="L12" s="19"/>
      <c r="M12" s="19"/>
    </row>
    <row r="13" spans="1:56" s="20" customFormat="1" ht="23.1" customHeight="1" thickTop="1" thickBot="1">
      <c r="A13" s="151"/>
      <c r="B13" s="266" t="s">
        <v>58</v>
      </c>
      <c r="C13" s="263" t="s">
        <v>57</v>
      </c>
      <c r="D13" s="265"/>
      <c r="E13" s="152"/>
      <c r="F13" s="266" t="s">
        <v>58</v>
      </c>
      <c r="G13" s="263" t="s">
        <v>57</v>
      </c>
      <c r="H13" s="265"/>
      <c r="I13" s="153"/>
      <c r="J13" s="18"/>
      <c r="K13" s="19"/>
      <c r="L13" s="19"/>
      <c r="M13" s="19"/>
    </row>
    <row r="14" spans="1:56" s="20" customFormat="1" ht="36" customHeight="1" thickTop="1" thickBot="1">
      <c r="A14" s="151"/>
      <c r="B14" s="174">
        <f>SUM(D4-(H4+H5+H6+H7))</f>
        <v>9840</v>
      </c>
      <c r="C14" s="241">
        <f>SUM(B14/12)</f>
        <v>820</v>
      </c>
      <c r="D14" s="242"/>
      <c r="E14" s="152"/>
      <c r="F14" s="154">
        <f>SUM(D4-(H4+H5+H6+H7+H32))</f>
        <v>4116.6868664222111</v>
      </c>
      <c r="G14" s="239">
        <f>SUM(H17/12)</f>
        <v>343.05723886851757</v>
      </c>
      <c r="H14" s="240"/>
      <c r="I14" s="153"/>
      <c r="J14" s="18"/>
      <c r="K14" s="19"/>
      <c r="L14" s="19"/>
      <c r="M14" s="19"/>
    </row>
    <row r="15" spans="1:56" s="12" customFormat="1" ht="23.1" customHeight="1" thickTop="1" thickBot="1">
      <c r="A15" s="125"/>
      <c r="B15" s="112"/>
      <c r="C15" s="87"/>
      <c r="D15" s="155"/>
      <c r="E15" s="145"/>
      <c r="F15" s="156"/>
      <c r="G15" s="87"/>
      <c r="H15" s="157"/>
      <c r="I15" s="147"/>
      <c r="J15" s="13"/>
      <c r="K15" s="11"/>
      <c r="L15" s="11"/>
      <c r="M15" s="11"/>
    </row>
    <row r="16" spans="1:56" s="12" customFormat="1" ht="24" customHeight="1" thickBot="1">
      <c r="A16" s="125"/>
      <c r="B16" s="99" t="s">
        <v>60</v>
      </c>
      <c r="C16" s="100"/>
      <c r="D16" s="101"/>
      <c r="E16" s="102"/>
      <c r="F16" s="99" t="s">
        <v>60</v>
      </c>
      <c r="G16" s="100"/>
      <c r="H16" s="101"/>
      <c r="I16" s="130"/>
      <c r="J16" s="13"/>
      <c r="K16" s="11"/>
      <c r="L16" s="11"/>
      <c r="M16" s="11"/>
    </row>
    <row r="17" spans="1:13" s="95" customFormat="1" ht="24" customHeight="1" outlineLevel="1">
      <c r="A17" s="158"/>
      <c r="B17" s="231" t="s">
        <v>47</v>
      </c>
      <c r="C17" s="232"/>
      <c r="D17" s="121">
        <f>SUM(D4-(H4+H5+H6+H7))</f>
        <v>9840</v>
      </c>
      <c r="E17" s="103"/>
      <c r="F17" s="231" t="s">
        <v>47</v>
      </c>
      <c r="G17" s="232"/>
      <c r="H17" s="104">
        <f>SUM(D4-(H4+H5+H6+H7+H32))</f>
        <v>4116.6868664222111</v>
      </c>
      <c r="I17" s="159"/>
      <c r="J17" s="93"/>
      <c r="K17" s="94"/>
      <c r="L17" s="94"/>
      <c r="M17" s="94"/>
    </row>
    <row r="18" spans="1:13" s="95" customFormat="1" ht="24" customHeight="1" outlineLevel="1">
      <c r="A18" s="158"/>
      <c r="B18" s="231" t="s">
        <v>41</v>
      </c>
      <c r="C18" s="232"/>
      <c r="D18" s="121">
        <f>SUM(B14/12)</f>
        <v>820</v>
      </c>
      <c r="E18" s="103"/>
      <c r="F18" s="231" t="s">
        <v>41</v>
      </c>
      <c r="G18" s="232"/>
      <c r="H18" s="104">
        <f>SUM(H17/12)</f>
        <v>343.05723886851757</v>
      </c>
      <c r="I18" s="159"/>
      <c r="J18" s="93"/>
      <c r="K18" s="94"/>
      <c r="L18" s="94"/>
      <c r="M18" s="94"/>
    </row>
    <row r="19" spans="1:13" s="95" customFormat="1" ht="24" customHeight="1" outlineLevel="1" thickBot="1">
      <c r="A19" s="158"/>
      <c r="B19" s="233" t="s">
        <v>42</v>
      </c>
      <c r="C19" s="234"/>
      <c r="D19" s="105">
        <f>SUM(B14/D5)</f>
        <v>8.2000000000000003E-2</v>
      </c>
      <c r="E19" s="103"/>
      <c r="F19" s="233" t="s">
        <v>42</v>
      </c>
      <c r="G19" s="234"/>
      <c r="H19" s="118">
        <f>SUM(H17/H31)</f>
        <v>0.11435241295617253</v>
      </c>
      <c r="I19" s="160"/>
      <c r="J19" s="93"/>
      <c r="K19" s="94"/>
      <c r="L19" s="94"/>
      <c r="M19" s="94"/>
    </row>
    <row r="20" spans="1:13" s="12" customFormat="1" ht="24" customHeight="1" outlineLevel="1" thickBot="1">
      <c r="A20" s="125"/>
      <c r="B20" s="106"/>
      <c r="C20" s="107"/>
      <c r="D20" s="108"/>
      <c r="E20" s="109"/>
      <c r="F20" s="110"/>
      <c r="G20" s="111"/>
      <c r="H20" s="108"/>
      <c r="I20" s="147"/>
      <c r="J20" s="13"/>
      <c r="K20" s="11"/>
      <c r="L20" s="11"/>
      <c r="M20" s="11"/>
    </row>
    <row r="21" spans="1:13" s="12" customFormat="1" ht="24" customHeight="1" outlineLevel="1" thickBot="1">
      <c r="A21" s="125"/>
      <c r="B21" s="99" t="s">
        <v>59</v>
      </c>
      <c r="C21" s="100"/>
      <c r="D21" s="101"/>
      <c r="E21" s="102"/>
      <c r="F21" s="99" t="s">
        <v>59</v>
      </c>
      <c r="G21" s="100"/>
      <c r="H21" s="101"/>
      <c r="I21" s="147"/>
      <c r="J21" s="13"/>
      <c r="K21" s="11"/>
      <c r="L21" s="11"/>
      <c r="M21" s="11"/>
    </row>
    <row r="22" spans="1:13" s="95" customFormat="1" ht="24" customHeight="1" outlineLevel="1">
      <c r="A22" s="158"/>
      <c r="B22" s="231" t="s">
        <v>43</v>
      </c>
      <c r="C22" s="232"/>
      <c r="D22" s="104">
        <f>SUM(D4-D29-D6-D7)</f>
        <v>8340</v>
      </c>
      <c r="E22" s="103"/>
      <c r="F22" s="231" t="s">
        <v>70</v>
      </c>
      <c r="G22" s="232"/>
      <c r="H22" s="104">
        <f>SUM(D4-H32-H33-D6-D7)</f>
        <v>2616.6868664222111</v>
      </c>
      <c r="I22" s="160"/>
      <c r="J22" s="93"/>
      <c r="K22" s="94"/>
      <c r="L22" s="94"/>
      <c r="M22" s="94"/>
    </row>
    <row r="23" spans="1:13" s="95" customFormat="1" ht="24" customHeight="1" outlineLevel="1">
      <c r="A23" s="158"/>
      <c r="B23" s="231" t="s">
        <v>44</v>
      </c>
      <c r="C23" s="232"/>
      <c r="D23" s="104">
        <f>SUM(D22/12)</f>
        <v>695</v>
      </c>
      <c r="E23" s="103"/>
      <c r="F23" s="231" t="s">
        <v>44</v>
      </c>
      <c r="G23" s="232"/>
      <c r="H23" s="104">
        <f>SUM(H22/12)</f>
        <v>218.0572388685176</v>
      </c>
      <c r="I23" s="160"/>
      <c r="J23" s="93"/>
      <c r="K23" s="94"/>
      <c r="L23" s="94"/>
      <c r="M23" s="94"/>
    </row>
    <row r="24" spans="1:13" s="95" customFormat="1" ht="24" customHeight="1" outlineLevel="1" thickBot="1">
      <c r="A24" s="158"/>
      <c r="B24" s="233" t="s">
        <v>45</v>
      </c>
      <c r="C24" s="234"/>
      <c r="D24" s="118">
        <f>SUM(D22/D28)</f>
        <v>6.7258064516129035E-2</v>
      </c>
      <c r="E24" s="103"/>
      <c r="F24" s="233" t="s">
        <v>45</v>
      </c>
      <c r="G24" s="234"/>
      <c r="H24" s="118">
        <f>SUM(H22/H31)</f>
        <v>7.2685746289505859E-2</v>
      </c>
      <c r="I24" s="160"/>
      <c r="J24" s="93"/>
      <c r="K24" s="94"/>
      <c r="L24" s="94"/>
      <c r="M24" s="94"/>
    </row>
    <row r="25" spans="1:13" s="12" customFormat="1" ht="24" customHeight="1" thickBot="1">
      <c r="A25" s="125"/>
      <c r="B25" s="112"/>
      <c r="C25" s="113"/>
      <c r="D25" s="114"/>
      <c r="E25" s="113"/>
      <c r="F25" s="260"/>
      <c r="G25" s="261"/>
      <c r="H25" s="262"/>
      <c r="I25" s="147"/>
      <c r="J25" s="13"/>
      <c r="K25" s="11"/>
      <c r="L25" s="11"/>
      <c r="M25" s="11"/>
    </row>
    <row r="26" spans="1:13" s="12" customFormat="1" ht="24" customHeight="1" thickBot="1">
      <c r="A26" s="125"/>
      <c r="B26" s="99" t="s">
        <v>68</v>
      </c>
      <c r="C26" s="100"/>
      <c r="D26" s="101"/>
      <c r="E26" s="113"/>
      <c r="F26" s="99" t="s">
        <v>68</v>
      </c>
      <c r="G26" s="100"/>
      <c r="H26" s="101"/>
      <c r="I26" s="147"/>
      <c r="J26" s="13"/>
      <c r="K26" s="11"/>
      <c r="L26" s="11"/>
      <c r="M26" s="11"/>
    </row>
    <row r="27" spans="1:13" s="95" customFormat="1" ht="24" customHeight="1">
      <c r="A27" s="158"/>
      <c r="B27" s="231" t="s">
        <v>52</v>
      </c>
      <c r="C27" s="232"/>
      <c r="D27" s="104">
        <f>SUM('Deal Inputs'!J22)</f>
        <v>4000</v>
      </c>
      <c r="E27" s="115"/>
      <c r="F27" s="243" t="s">
        <v>3</v>
      </c>
      <c r="G27" s="244"/>
      <c r="H27" s="104">
        <f>SUM(D5*'Deal Inputs'!J23)</f>
        <v>84000</v>
      </c>
      <c r="I27" s="160"/>
      <c r="J27" s="93"/>
      <c r="K27" s="94"/>
      <c r="L27" s="94"/>
      <c r="M27" s="94"/>
    </row>
    <row r="28" spans="1:13" s="95" customFormat="1" ht="24" customHeight="1">
      <c r="A28" s="158"/>
      <c r="B28" s="231" t="s">
        <v>53</v>
      </c>
      <c r="C28" s="232"/>
      <c r="D28" s="104">
        <f>SUM(D5+D27)</f>
        <v>124000</v>
      </c>
      <c r="E28" s="115"/>
      <c r="F28" s="231" t="s">
        <v>6</v>
      </c>
      <c r="G28" s="232"/>
      <c r="H28" s="119">
        <f>SUM('Deal Inputs'!J25)</f>
        <v>5.5E-2</v>
      </c>
      <c r="I28" s="160"/>
      <c r="J28" s="93"/>
      <c r="K28" s="94"/>
      <c r="L28" s="94"/>
      <c r="M28" s="94"/>
    </row>
    <row r="29" spans="1:13" s="95" customFormat="1" ht="24" customHeight="1" thickBot="1">
      <c r="A29" s="158"/>
      <c r="B29" s="245" t="s">
        <v>2</v>
      </c>
      <c r="C29" s="246"/>
      <c r="D29" s="175">
        <f>SUM(H4:H7)</f>
        <v>5160</v>
      </c>
      <c r="E29" s="115"/>
      <c r="F29" s="231" t="s">
        <v>46</v>
      </c>
      <c r="G29" s="232"/>
      <c r="H29" s="120">
        <f>SUM('Deal Inputs'!J24)</f>
        <v>360</v>
      </c>
      <c r="I29" s="160"/>
      <c r="J29" s="93"/>
      <c r="K29" s="94"/>
      <c r="L29" s="94"/>
      <c r="M29" s="94"/>
    </row>
    <row r="30" spans="1:13" s="95" customFormat="1" ht="24" customHeight="1" thickTop="1">
      <c r="A30" s="158"/>
      <c r="B30" s="115"/>
      <c r="C30" s="115"/>
      <c r="D30" s="115"/>
      <c r="E30" s="115"/>
      <c r="F30" s="231" t="s">
        <v>7</v>
      </c>
      <c r="G30" s="232"/>
      <c r="H30" s="104">
        <f>-PMT(H28/12,H29,H27)</f>
        <v>476.94276113148243</v>
      </c>
      <c r="I30" s="160"/>
      <c r="J30" s="93"/>
      <c r="K30" s="94"/>
      <c r="L30" s="94"/>
      <c r="M30" s="94"/>
    </row>
    <row r="31" spans="1:13" s="95" customFormat="1" ht="24" customHeight="1">
      <c r="A31" s="158"/>
      <c r="B31" s="115"/>
      <c r="C31" s="115"/>
      <c r="D31" s="115"/>
      <c r="E31" s="115"/>
      <c r="F31" s="231" t="s">
        <v>4</v>
      </c>
      <c r="G31" s="232"/>
      <c r="H31" s="104">
        <f>SUM(D5-H27)</f>
        <v>36000</v>
      </c>
      <c r="I31" s="160"/>
      <c r="J31" s="93"/>
      <c r="K31" s="94"/>
      <c r="L31" s="94"/>
      <c r="M31" s="94"/>
    </row>
    <row r="32" spans="1:13" s="95" customFormat="1" ht="24" customHeight="1">
      <c r="A32" s="158"/>
      <c r="B32" s="115"/>
      <c r="C32" s="115"/>
      <c r="D32" s="115"/>
      <c r="E32" s="115"/>
      <c r="F32" s="231" t="s">
        <v>5</v>
      </c>
      <c r="G32" s="232"/>
      <c r="H32" s="104">
        <f>SUM(H30*12)</f>
        <v>5723.3131335777889</v>
      </c>
      <c r="I32" s="160"/>
      <c r="J32" s="93"/>
      <c r="K32" s="94"/>
      <c r="L32" s="94"/>
      <c r="M32" s="94"/>
    </row>
    <row r="33" spans="1:57" s="98" customFormat="1" ht="24" customHeight="1" thickBot="1">
      <c r="A33" s="158"/>
      <c r="B33" s="115"/>
      <c r="C33" s="115"/>
      <c r="D33" s="116"/>
      <c r="E33" s="116"/>
      <c r="F33" s="245" t="s">
        <v>2</v>
      </c>
      <c r="G33" s="246"/>
      <c r="H33" s="175">
        <f>SUM(H4:H7)</f>
        <v>5160</v>
      </c>
      <c r="I33" s="161"/>
      <c r="J33" s="96"/>
      <c r="K33" s="97"/>
      <c r="L33" s="97"/>
      <c r="M33" s="97"/>
    </row>
    <row r="34" spans="1:57" ht="39" customHeight="1" thickTop="1" thickBot="1">
      <c r="A34" s="162"/>
      <c r="B34" s="163"/>
      <c r="C34" s="163"/>
      <c r="D34" s="163"/>
      <c r="E34" s="164"/>
      <c r="F34" s="165"/>
      <c r="G34" s="165"/>
      <c r="H34" s="164"/>
      <c r="I34" s="166"/>
    </row>
    <row r="35" spans="1:57" s="24" customFormat="1">
      <c r="A35" s="21"/>
      <c r="B35" s="22"/>
      <c r="C35" s="22"/>
      <c r="D35" s="22"/>
      <c r="E35" s="25"/>
      <c r="F35" s="26"/>
      <c r="G35" s="26"/>
      <c r="H35" s="22"/>
      <c r="I35" s="23"/>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row>
    <row r="36" spans="1:57" s="24" customFormat="1">
      <c r="A36" s="21"/>
      <c r="B36" s="22"/>
      <c r="C36" s="22"/>
      <c r="D36" s="22"/>
      <c r="E36" s="25"/>
      <c r="F36" s="26"/>
      <c r="G36" s="26"/>
      <c r="H36" s="22"/>
      <c r="I36" s="23"/>
      <c r="J36" s="28"/>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row>
    <row r="37" spans="1:57" s="24" customFormat="1" ht="18.75">
      <c r="A37" s="21"/>
      <c r="B37" s="172" t="s">
        <v>72</v>
      </c>
      <c r="C37" s="52"/>
      <c r="D37" s="52"/>
      <c r="E37" s="52"/>
      <c r="F37" s="74"/>
      <c r="G37" s="52"/>
      <c r="H37" s="52"/>
      <c r="I37" s="52"/>
      <c r="J37" s="52"/>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row>
    <row r="38" spans="1:57" s="24" customFormat="1" ht="12.95" customHeight="1">
      <c r="A38" s="21"/>
      <c r="B38" s="206" t="s">
        <v>75</v>
      </c>
      <c r="C38" s="207"/>
      <c r="D38" s="207"/>
      <c r="E38" s="207"/>
      <c r="F38" s="207"/>
      <c r="G38" s="207"/>
      <c r="H38" s="208"/>
      <c r="I38" s="173"/>
      <c r="J38" s="173"/>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row>
    <row r="39" spans="1:57" s="24" customFormat="1" ht="12.95" customHeight="1">
      <c r="A39" s="21"/>
      <c r="B39" s="209"/>
      <c r="C39" s="210"/>
      <c r="D39" s="210"/>
      <c r="E39" s="210"/>
      <c r="F39" s="210"/>
      <c r="G39" s="210"/>
      <c r="H39" s="211"/>
      <c r="I39" s="173"/>
      <c r="J39" s="173"/>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row>
    <row r="40" spans="1:57" ht="12.95" customHeight="1">
      <c r="B40" s="209"/>
      <c r="C40" s="210"/>
      <c r="D40" s="210"/>
      <c r="E40" s="210"/>
      <c r="F40" s="210"/>
      <c r="G40" s="210"/>
      <c r="H40" s="211"/>
      <c r="I40" s="173"/>
      <c r="J40" s="173"/>
    </row>
    <row r="41" spans="1:57" ht="12.95" customHeight="1">
      <c r="B41" s="212"/>
      <c r="C41" s="213"/>
      <c r="D41" s="213"/>
      <c r="E41" s="213"/>
      <c r="F41" s="213"/>
      <c r="G41" s="213"/>
      <c r="H41" s="214"/>
      <c r="I41" s="173"/>
      <c r="J41" s="173"/>
    </row>
    <row r="54" spans="2:13" s="27" customFormat="1">
      <c r="B54" s="22"/>
      <c r="C54" s="22"/>
      <c r="D54" s="22"/>
      <c r="E54" s="25"/>
      <c r="F54" s="26"/>
      <c r="G54" s="26"/>
      <c r="H54" s="22"/>
      <c r="J54" s="24"/>
      <c r="K54" s="24"/>
      <c r="L54" s="29"/>
      <c r="M54" s="29"/>
    </row>
    <row r="56" spans="2:13" s="27" customFormat="1">
      <c r="B56" s="22"/>
      <c r="C56" s="22"/>
      <c r="D56" s="22"/>
      <c r="E56" s="25"/>
      <c r="F56" s="26"/>
      <c r="G56" s="26"/>
      <c r="H56" s="22"/>
      <c r="J56" s="24"/>
      <c r="K56" s="24"/>
      <c r="L56" s="29"/>
      <c r="M56" s="29"/>
    </row>
    <row r="57" spans="2:13" s="27" customFormat="1">
      <c r="B57" s="22"/>
      <c r="C57" s="22"/>
      <c r="D57" s="22"/>
      <c r="E57" s="25"/>
      <c r="F57" s="26"/>
      <c r="G57" s="26"/>
      <c r="H57" s="22"/>
      <c r="J57" s="24"/>
      <c r="K57" s="24"/>
      <c r="L57" s="29"/>
      <c r="M57" s="29"/>
    </row>
    <row r="58" spans="2:13" s="27" customFormat="1">
      <c r="B58" s="22"/>
      <c r="C58" s="22"/>
      <c r="D58" s="22"/>
      <c r="E58" s="25"/>
      <c r="F58" s="26"/>
      <c r="G58" s="26"/>
      <c r="H58" s="22"/>
      <c r="J58" s="24"/>
      <c r="K58" s="24"/>
      <c r="L58" s="29"/>
      <c r="M58" s="29"/>
    </row>
    <row r="59" spans="2:13" s="27" customFormat="1">
      <c r="B59" s="22"/>
      <c r="C59" s="22"/>
      <c r="D59" s="22"/>
      <c r="E59" s="25"/>
      <c r="F59" s="26"/>
      <c r="G59" s="26"/>
      <c r="H59" s="22"/>
      <c r="J59" s="24"/>
      <c r="K59" s="24"/>
      <c r="L59" s="29"/>
      <c r="M59" s="29"/>
    </row>
    <row r="60" spans="2:13" s="27" customFormat="1">
      <c r="B60" s="22"/>
      <c r="C60" s="22"/>
      <c r="D60" s="22"/>
      <c r="E60" s="25"/>
      <c r="F60" s="26"/>
      <c r="G60" s="26"/>
      <c r="H60" s="22"/>
      <c r="J60" s="24"/>
      <c r="K60" s="24"/>
      <c r="L60" s="29"/>
      <c r="M60" s="29"/>
    </row>
    <row r="62" spans="2:13" s="27" customFormat="1">
      <c r="B62" s="22"/>
      <c r="C62" s="22"/>
      <c r="D62" s="22"/>
      <c r="E62" s="25"/>
      <c r="F62" s="26"/>
      <c r="G62" s="26"/>
      <c r="H62" s="22"/>
      <c r="J62" s="24"/>
      <c r="K62" s="24"/>
      <c r="L62" s="29"/>
      <c r="M62" s="29"/>
    </row>
    <row r="63" spans="2:13" s="27" customFormat="1">
      <c r="B63" s="22"/>
      <c r="C63" s="22"/>
      <c r="D63" s="22"/>
      <c r="E63" s="25"/>
      <c r="F63" s="26"/>
      <c r="G63" s="26"/>
      <c r="H63" s="22"/>
      <c r="J63" s="24"/>
      <c r="K63" s="24"/>
      <c r="L63" s="29"/>
      <c r="M63" s="29"/>
    </row>
    <row r="64" spans="2:13" s="27" customFormat="1">
      <c r="B64" s="22"/>
      <c r="C64" s="22"/>
      <c r="D64" s="22"/>
      <c r="E64" s="25"/>
      <c r="F64" s="26"/>
      <c r="G64" s="26"/>
      <c r="H64" s="22"/>
      <c r="J64" s="24"/>
      <c r="K64" s="24"/>
      <c r="L64" s="29"/>
      <c r="M64" s="29"/>
    </row>
    <row r="65" spans="2:13" s="27" customFormat="1">
      <c r="B65" s="22"/>
      <c r="C65" s="22"/>
      <c r="D65" s="22"/>
      <c r="E65" s="25"/>
      <c r="F65" s="26"/>
      <c r="G65" s="26"/>
      <c r="H65" s="22"/>
      <c r="J65" s="24"/>
      <c r="K65" s="24"/>
      <c r="L65" s="29"/>
      <c r="M65" s="29"/>
    </row>
    <row r="66" spans="2:13" s="27" customFormat="1">
      <c r="B66" s="22"/>
      <c r="C66" s="22"/>
      <c r="D66" s="22"/>
      <c r="E66" s="25"/>
      <c r="F66" s="26"/>
      <c r="G66" s="26"/>
      <c r="H66" s="22"/>
      <c r="J66" s="24"/>
      <c r="K66" s="24"/>
      <c r="L66" s="29"/>
      <c r="M66" s="29"/>
    </row>
    <row r="67" spans="2:13" s="27" customFormat="1">
      <c r="B67" s="22"/>
      <c r="C67" s="22"/>
      <c r="D67" s="22"/>
      <c r="E67" s="25"/>
      <c r="F67" s="26"/>
      <c r="G67" s="26"/>
      <c r="H67" s="22"/>
      <c r="J67" s="24"/>
      <c r="K67" s="24"/>
      <c r="L67" s="29"/>
      <c r="M67" s="29"/>
    </row>
    <row r="68" spans="2:13" s="27" customFormat="1">
      <c r="B68" s="22"/>
      <c r="C68" s="22"/>
      <c r="D68" s="22"/>
      <c r="E68" s="25"/>
      <c r="F68" s="26"/>
      <c r="G68" s="26"/>
      <c r="H68" s="22"/>
      <c r="J68" s="24"/>
      <c r="K68" s="24"/>
      <c r="L68" s="29"/>
      <c r="M68" s="29"/>
    </row>
    <row r="69" spans="2:13" s="27" customFormat="1">
      <c r="B69" s="22"/>
      <c r="C69" s="22"/>
      <c r="D69" s="22"/>
      <c r="E69" s="25"/>
      <c r="F69" s="26"/>
      <c r="G69" s="26"/>
      <c r="H69" s="22"/>
      <c r="J69" s="24"/>
      <c r="K69" s="24"/>
      <c r="L69" s="29"/>
      <c r="M69" s="29"/>
    </row>
    <row r="70" spans="2:13" s="27" customFormat="1">
      <c r="B70" s="22"/>
      <c r="C70" s="22"/>
      <c r="D70" s="22"/>
      <c r="E70" s="25"/>
      <c r="F70" s="26"/>
      <c r="G70" s="26"/>
      <c r="H70" s="22"/>
      <c r="J70" s="24"/>
      <c r="K70" s="24"/>
      <c r="L70" s="29"/>
      <c r="M70" s="29"/>
    </row>
    <row r="71" spans="2:13" s="27" customFormat="1">
      <c r="B71" s="22"/>
      <c r="C71" s="22"/>
      <c r="D71" s="22"/>
      <c r="E71" s="25"/>
      <c r="F71" s="26"/>
      <c r="G71" s="26"/>
      <c r="H71" s="22"/>
      <c r="J71" s="24"/>
      <c r="K71" s="24"/>
      <c r="L71" s="29"/>
      <c r="M71" s="29"/>
    </row>
    <row r="74" spans="2:13" s="27" customFormat="1">
      <c r="B74" s="22"/>
      <c r="C74" s="22"/>
      <c r="D74" s="22"/>
      <c r="E74" s="25"/>
      <c r="F74" s="26"/>
      <c r="G74" s="26"/>
      <c r="H74" s="22"/>
      <c r="J74" s="24"/>
      <c r="K74" s="24"/>
      <c r="L74" s="29"/>
      <c r="M74" s="29"/>
    </row>
    <row r="75" spans="2:13" s="27" customFormat="1">
      <c r="B75" s="22"/>
      <c r="C75" s="22"/>
      <c r="D75" s="22"/>
      <c r="E75" s="25"/>
      <c r="F75" s="26"/>
      <c r="G75" s="26"/>
      <c r="H75" s="22"/>
      <c r="J75" s="24"/>
      <c r="K75" s="24"/>
      <c r="L75" s="29"/>
      <c r="M75" s="29"/>
    </row>
  </sheetData>
  <sheetProtection sheet="1" objects="1" scenarios="1"/>
  <mergeCells count="40">
    <mergeCell ref="B38:H41"/>
    <mergeCell ref="B10:D10"/>
    <mergeCell ref="F10:H10"/>
    <mergeCell ref="F18:G18"/>
    <mergeCell ref="F17:G17"/>
    <mergeCell ref="F11:H11"/>
    <mergeCell ref="B12:D12"/>
    <mergeCell ref="F12:H12"/>
    <mergeCell ref="B18:C18"/>
    <mergeCell ref="F33:G33"/>
    <mergeCell ref="F32:G32"/>
    <mergeCell ref="F25:H25"/>
    <mergeCell ref="F19:G19"/>
    <mergeCell ref="F23:G23"/>
    <mergeCell ref="B24:C24"/>
    <mergeCell ref="F24:G24"/>
    <mergeCell ref="B3:D3"/>
    <mergeCell ref="B4:C4"/>
    <mergeCell ref="B5:C5"/>
    <mergeCell ref="B7:C7"/>
    <mergeCell ref="B11:D11"/>
    <mergeCell ref="F30:G30"/>
    <mergeCell ref="F31:G31"/>
    <mergeCell ref="B27:C27"/>
    <mergeCell ref="B28:C28"/>
    <mergeCell ref="F27:G27"/>
    <mergeCell ref="F28:G28"/>
    <mergeCell ref="F29:G29"/>
    <mergeCell ref="B29:C29"/>
    <mergeCell ref="B23:C23"/>
    <mergeCell ref="B22:C22"/>
    <mergeCell ref="B19:C19"/>
    <mergeCell ref="F4:G4"/>
    <mergeCell ref="F5:G5"/>
    <mergeCell ref="C13:D13"/>
    <mergeCell ref="G13:H13"/>
    <mergeCell ref="G14:H14"/>
    <mergeCell ref="C14:D14"/>
    <mergeCell ref="B17:C17"/>
    <mergeCell ref="F22:G22"/>
  </mergeCells>
  <pageMargins left="0.62" right="0.35" top="0.42" bottom="0.56000000000000005" header="0.18" footer="0.16"/>
  <pageSetup scale="72" orientation="landscape"/>
  <headerFooter>
    <oddHeader>&amp;C&amp;"Arial,Bold"&amp;12Flip with Mortgage/Private Money Financing</oddHeader>
    <oddFooter>&amp;C&amp;"Arial,Bold"Printed &amp;D&amp;R&amp;"Arial,Bold"Page &amp;P of &amp;N</oddFooter>
  </headerFooter>
  <rowBreaks count="1" manualBreakCount="1">
    <brk id="32" min="1" max="4"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Deal Inputs</vt:lpstr>
      <vt:lpstr>Deal Analyzer for Rentals</vt:lpstr>
      <vt:lpstr>'Deal Analyzer for Rentals'!Print_Area</vt:lpstr>
    </vt:vector>
  </TitlesOfParts>
  <Company>Memphis Invest, GP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 Clothier</dc:creator>
  <cp:lastModifiedBy>megachile</cp:lastModifiedBy>
  <cp:lastPrinted>2013-11-21T17:49:04Z</cp:lastPrinted>
  <dcterms:created xsi:type="dcterms:W3CDTF">2013-11-20T22:05:29Z</dcterms:created>
  <dcterms:modified xsi:type="dcterms:W3CDTF">2017-07-27T19:25:15Z</dcterms:modified>
</cp:coreProperties>
</file>