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localSheetId="0" name="_xlnm.Print_Area" vbProcedure="false">Sheet1!$A$1:$K$61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35" authorId="0">
      <text>
        <r>
          <rPr>
            <sz val="10"/>
            <rFont val="Arial"/>
            <family val="2"/>
          </rPr>
          <t xml:space="preserve">Net operating income/asking price
</t>
        </r>
      </text>
    </comment>
    <comment ref="B32" authorId="0">
      <text>
        <r>
          <rPr>
            <sz val="10"/>
            <rFont val="Arial"/>
            <family val="2"/>
          </rPr>
          <t xml:space="preserve">MUST enter vacancy.  Use Economic Vacancy, if known.  
</t>
        </r>
        <r>
          <rPr>
            <b val="true"/>
            <sz val="9"/>
            <color rgb="FF000000"/>
            <rFont val="Tahoma"/>
            <family val="2"/>
            <charset val="1"/>
          </rPr>
          <t xml:space="preserve">Use 10% for MAO (low occupancy) properties.
</t>
        </r>
      </text>
    </comment>
    <comment ref="B33" authorId="0">
      <text>
        <r>
          <rPr>
            <sz val="10"/>
            <rFont val="Arial"/>
            <family val="2"/>
          </rPr>
          <t xml:space="preserve">Important!  This field is automatically brought over from cell I37.  However, you may enter it if you want to override that amount.
Anytime the actual ratio is less than 45% (or 55% for All Bills Paid), enter the appropriate percentage. Don't forget to add another 5% for Houston areas.
</t>
        </r>
        <r>
          <rPr>
            <sz val="9"/>
            <color rgb="FF000000"/>
            <rFont val="Tahoma"/>
            <family val="2"/>
            <charset val="1"/>
          </rPr>
          <t xml:space="preserve">
</t>
        </r>
      </text>
    </comment>
    <comment ref="B48" authorId="0">
      <text>
        <r>
          <rPr>
            <sz val="10"/>
            <rFont val="Arial"/>
            <family val="2"/>
          </rPr>
          <t xml:space="preserve">Do Not Enter.  Automatically calculates Debt Service Coverage Ratio based on Total Annual Debt Service.  It is only filled in when there is an amount in the Total Annual Debt Service.</t>
        </r>
      </text>
    </comment>
    <comment ref="B56" authorId="0">
      <text>
        <r>
          <rPr>
            <sz val="10"/>
            <rFont val="Arial"/>
            <family val="2"/>
          </rPr>
          <t xml:space="preserve">Enter the area market cap rate.
</t>
        </r>
      </text>
    </comment>
    <comment ref="B59" authorId="0">
      <text>
        <r>
          <rPr>
            <sz val="10"/>
            <rFont val="Arial"/>
            <family val="2"/>
          </rPr>
          <t xml:space="preserve">Do Not Enter.  This field
is calculated whenever a market cap rate is entered.
If this is not a high vacancy property, disregard this field, even though it is automatically calculated whenever a market cap is entered.
</t>
        </r>
      </text>
    </comment>
    <comment ref="C32" authorId="0">
      <text>
        <r>
          <rPr>
            <sz val="10"/>
            <rFont val="Arial"/>
            <family val="2"/>
          </rPr>
          <t xml:space="preserve">Informational purposes only.  Enter the physical vacancy.
</t>
        </r>
      </text>
    </comment>
    <comment ref="C55" authorId="0">
      <text>
        <r>
          <rPr>
            <sz val="10"/>
            <rFont val="Arial"/>
            <family val="2"/>
          </rPr>
          <t xml:space="preserve">automatically calculated by dividing yearly cash flow by (down pymt + closing costs + rehab)
</t>
        </r>
      </text>
    </comment>
    <comment ref="D32" authorId="0">
      <text>
        <r>
          <rPr>
            <sz val="10"/>
            <rFont val="Arial"/>
            <family val="2"/>
          </rPr>
          <t xml:space="preserve">dollar amount of vacancy (calculated by multiplying the TOTAL GROSS SCHEDULED INCOME by the Vacancy percentage)</t>
        </r>
      </text>
    </comment>
    <comment ref="D33" authorId="0">
      <text>
        <r>
          <rPr>
            <sz val="10"/>
            <rFont val="Arial"/>
            <family val="2"/>
          </rPr>
          <t xml:space="preserve">dollar amount of expenses  (calculated by multiplying the TOTAL GROSS SCHEDULED INCOME by the Op Expenses percentage)
</t>
        </r>
      </text>
    </comment>
    <comment ref="D57" authorId="0">
      <text>
        <r>
          <rPr>
            <sz val="10"/>
            <rFont val="Arial"/>
            <family val="2"/>
          </rPr>
          <t xml:space="preserve">Do Not Enter.  This is the After Repair Value (ARV), sometimes called the market value. Automatically calculated based on the market cap and the NOI.  This value is particularly useful when evaluating low occupancy, distressed properties.
</t>
        </r>
      </text>
    </comment>
    <comment ref="D59" authorId="0">
      <text>
        <r>
          <rPr>
            <sz val="10"/>
            <rFont val="Arial"/>
            <family val="2"/>
          </rPr>
          <t xml:space="preserve">Do Not Enter.  The Maximum Allowable Offer is calculated whenever a market cap rate is entered.
If this is not a high vacancy property, disregard this field, even though it is automatically calculated whenever a market cap is entered.
</t>
        </r>
      </text>
    </comment>
    <comment ref="E28" authorId="0">
      <text>
        <r>
          <rPr>
            <sz val="10"/>
            <rFont val="Arial"/>
            <family val="2"/>
          </rPr>
          <t xml:space="preserve">Automatically filled in from the field above it.  However, you may enter a different amount if you know the amount ACTUALLY
billed for the month.  Often, the amount of income actually billed is less than what the rents are purported to be.  This is a shortcut way to get a picture of the REAL income, rather than re-entering all the unit mix with the correct rent amounts.</t>
        </r>
      </text>
    </comment>
    <comment ref="E30" authorId="0">
      <text>
        <r>
          <rPr>
            <sz val="10"/>
            <rFont val="Arial"/>
            <family val="2"/>
          </rPr>
          <t xml:space="preserve">If known, enter annual amount of laundry income, late fees, application fees, RUBS income, commercial income attached to property, etc.
</t>
        </r>
      </text>
    </comment>
    <comment ref="E32" authorId="0">
      <text>
        <r>
          <rPr>
            <sz val="10"/>
            <rFont val="Arial"/>
            <family val="2"/>
          </rPr>
          <t xml:space="preserve">GSI minus vacancy</t>
        </r>
      </text>
    </comment>
    <comment ref="E33" authorId="0">
      <text>
        <r>
          <rPr>
            <sz val="10"/>
            <rFont val="Arial"/>
            <family val="2"/>
          </rPr>
          <t xml:space="preserve">NOI - calculated as GSI minus vacancy AND expenses  </t>
        </r>
      </text>
    </comment>
    <comment ref="E34" authorId="0">
      <text>
        <r>
          <rPr>
            <sz val="10"/>
            <rFont val="Arial"/>
            <family val="2"/>
          </rPr>
          <t xml:space="preserve">brought down from the cell above it.
</t>
        </r>
      </text>
    </comment>
    <comment ref="E40" authorId="0">
      <text>
        <r>
          <rPr>
            <sz val="10"/>
            <rFont val="Arial"/>
            <family val="2"/>
          </rPr>
          <t xml:space="preserve">Do Not Enter.  Automatically calculated as 3% of offer price.
</t>
        </r>
      </text>
    </comment>
    <comment ref="G5" authorId="0">
      <text>
        <r>
          <rPr>
            <sz val="10"/>
            <rFont val="Arial"/>
            <family val="2"/>
          </rPr>
          <t xml:space="preserve">Do not enter.  Automatically filled out.
</t>
        </r>
      </text>
    </comment>
    <comment ref="G6" authorId="0">
      <text>
        <r>
          <rPr>
            <sz val="10"/>
            <rFont val="Arial"/>
            <family val="2"/>
          </rPr>
          <t xml:space="preserve">Do not enter.  Automatically filled out.
</t>
        </r>
      </text>
    </comment>
    <comment ref="G37" authorId="0">
      <text>
        <r>
          <rPr>
            <sz val="10"/>
            <rFont val="Arial"/>
            <family val="2"/>
          </rPr>
          <t xml:space="preserve">Gross Scheduled income
</t>
        </r>
      </text>
    </comment>
    <comment ref="I2" authorId="0">
      <text>
        <r>
          <rPr>
            <sz val="10"/>
            <rFont val="Arial"/>
            <family val="2"/>
          </rPr>
          <t xml:space="preserve">Do not enter.  Automatically filled out.
</t>
        </r>
      </text>
    </comment>
    <comment ref="I3" authorId="0">
      <text>
        <r>
          <rPr>
            <sz val="10"/>
            <rFont val="Arial"/>
            <family val="2"/>
          </rPr>
          <t xml:space="preserve">Do not enter.  Automatically filled out.
</t>
        </r>
      </text>
    </comment>
    <comment ref="I5" authorId="0">
      <text>
        <r>
          <rPr>
            <sz val="10"/>
            <rFont val="Arial"/>
            <family val="2"/>
          </rPr>
          <t xml:space="preserve">Do not enter.  Automatically filled out.
</t>
        </r>
      </text>
    </comment>
    <comment ref="I6" authorId="0">
      <text>
        <r>
          <rPr>
            <sz val="10"/>
            <rFont val="Arial"/>
            <family val="2"/>
          </rPr>
          <t xml:space="preserve">Do not enter.  Automatically filled out.
</t>
        </r>
      </text>
    </comment>
    <comment ref="I13" authorId="0">
      <text>
        <r>
          <rPr>
            <sz val="10"/>
            <rFont val="Arial"/>
            <family val="2"/>
          </rPr>
          <t xml:space="preserve">Is the ELECTRICITY paid by the owner?  We MUST know this to complete a deal analysis.  See related note on Op Expenses field in B33.
</t>
        </r>
      </text>
    </comment>
    <comment ref="I40" authorId="0">
      <text>
        <r>
          <rPr>
            <sz val="10"/>
            <rFont val="Arial"/>
            <family val="2"/>
          </rPr>
          <t xml:space="preserve">ALWAYS enter rehab amount, even if 0.
</t>
        </r>
      </text>
    </comment>
    <comment ref="I42" authorId="0">
      <text>
        <r>
          <rPr>
            <sz val="10"/>
            <rFont val="Arial"/>
            <family val="2"/>
          </rPr>
          <t xml:space="preserve">Will be automatically calculated if you enter mtge amt, rate, and term. 
You may also enter it yourself.
</t>
        </r>
      </text>
    </comment>
    <comment ref="I43" authorId="0">
      <text>
        <r>
          <rPr>
            <sz val="10"/>
            <rFont val="Arial"/>
            <family val="2"/>
          </rPr>
          <t xml:space="preserve">Will be automatically calculated if you enter mtge amt, rate, and term. 
You may also enter it yourself.
</t>
        </r>
      </text>
    </comment>
    <comment ref="I45" authorId="0">
      <text>
        <r>
          <rPr>
            <sz val="10"/>
            <rFont val="Arial"/>
            <family val="2"/>
          </rPr>
          <t xml:space="preserve">Do not enter
</t>
        </r>
      </text>
    </comment>
    <comment ref="I47" authorId="0">
      <text>
        <r>
          <rPr>
            <sz val="10"/>
            <rFont val="Arial"/>
            <family val="2"/>
          </rPr>
          <t xml:space="preserve">Do not enter.
</t>
        </r>
      </text>
    </comment>
  </commentList>
</comments>
</file>

<file path=xl/sharedStrings.xml><?xml version="1.0" encoding="utf-8"?>
<sst xmlns="http://schemas.openxmlformats.org/spreadsheetml/2006/main" count="126" uniqueCount="110">
  <si>
    <t xml:space="preserve">Apartment Analysis Form </t>
  </si>
  <si>
    <r>
      <rPr>
        <b val="true"/>
        <sz val="12"/>
        <color rgb="FFFFFF00"/>
        <rFont val="Arial"/>
        <family val="2"/>
        <charset val="1"/>
      </rPr>
      <t xml:space="preserve">ENTER</t>
    </r>
    <r>
      <rPr>
        <b val="true"/>
        <sz val="12"/>
        <rFont val="Arial"/>
        <family val="2"/>
        <charset val="1"/>
      </rPr>
      <t xml:space="preserve"> </t>
    </r>
    <r>
      <rPr>
        <b val="true"/>
        <sz val="12"/>
        <color rgb="FFFFFF00"/>
        <rFont val="Arial"/>
        <family val="2"/>
        <charset val="1"/>
      </rPr>
      <t xml:space="preserve">DATA</t>
    </r>
    <r>
      <rPr>
        <b val="true"/>
        <sz val="12"/>
        <rFont val="Arial"/>
        <family val="2"/>
        <charset val="1"/>
      </rPr>
      <t xml:space="preserve"> </t>
    </r>
    <r>
      <rPr>
        <b val="true"/>
        <sz val="12"/>
        <color rgb="FFFFFF00"/>
        <rFont val="Arial"/>
        <family val="2"/>
        <charset val="1"/>
      </rPr>
      <t xml:space="preserve">IN</t>
    </r>
    <r>
      <rPr>
        <b val="true"/>
        <sz val="12"/>
        <rFont val="Arial"/>
        <family val="2"/>
        <charset val="1"/>
      </rPr>
      <t xml:space="preserve"> </t>
    </r>
    <r>
      <rPr>
        <b val="true"/>
        <sz val="12"/>
        <color rgb="FFFFFF00"/>
        <rFont val="Arial"/>
        <family val="2"/>
        <charset val="1"/>
      </rPr>
      <t xml:space="preserve">YELLOW</t>
    </r>
    <r>
      <rPr>
        <b val="true"/>
        <sz val="12"/>
        <rFont val="Arial"/>
        <family val="2"/>
        <charset val="1"/>
      </rPr>
      <t xml:space="preserve"> </t>
    </r>
    <r>
      <rPr>
        <b val="true"/>
        <sz val="12"/>
        <color rgb="FFFFFF00"/>
        <rFont val="Arial"/>
        <family val="2"/>
        <charset val="1"/>
      </rPr>
      <t xml:space="preserve">FIELDS</t>
    </r>
  </si>
  <si>
    <t xml:space="preserve">USE WHOLE DOLLAR AMOUNTS</t>
  </si>
  <si>
    <t xml:space="preserve">Property Address</t>
  </si>
  <si>
    <t xml:space="preserve">three lanterns apt 1499r idgecrest street monterey park ca, 91704</t>
  </si>
  <si>
    <t xml:space="preserve">Offer Price</t>
  </si>
  <si>
    <t xml:space="preserve">  Offer + rehab</t>
  </si>
  <si>
    <t xml:space="preserve">Prop Class A/B/C</t>
  </si>
  <si>
    <t xml:space="preserve">c</t>
  </si>
  <si>
    <t xml:space="preserve">Area class</t>
  </si>
  <si>
    <t xml:space="preserve">Asking Price</t>
  </si>
  <si>
    <t xml:space="preserve">Asking + rehab</t>
  </si>
  <si>
    <t xml:space="preserve">Owner/contact</t>
  </si>
  <si>
    <t xml:space="preserve">Brian Gordon </t>
  </si>
  <si>
    <t xml:space="preserve"># Units</t>
  </si>
  <si>
    <t xml:space="preserve">Contact Phone</t>
  </si>
  <si>
    <t xml:space="preserve">(962)226-1700</t>
  </si>
  <si>
    <t xml:space="preserve">$/Unit offer</t>
  </si>
  <si>
    <t xml:space="preserve">  offer + rehab</t>
  </si>
  <si>
    <t xml:space="preserve">$/Unit asking</t>
  </si>
  <si>
    <t xml:space="preserve">asking + rehab</t>
  </si>
  <si>
    <t xml:space="preserve">Mortgages</t>
  </si>
  <si>
    <t xml:space="preserve">Current 1st </t>
  </si>
  <si>
    <t xml:space="preserve">Rate</t>
  </si>
  <si>
    <t xml:space="preserve">Payment</t>
  </si>
  <si>
    <t xml:space="preserve">Assumable Y/N</t>
  </si>
  <si>
    <t xml:space="preserve">y</t>
  </si>
  <si>
    <t xml:space="preserve">Current 2nd </t>
  </si>
  <si>
    <t xml:space="preserve">Unit Mix</t>
  </si>
  <si>
    <t xml:space="preserve">Annual Operating Expense Analysis</t>
  </si>
  <si>
    <t xml:space="preserve">% of </t>
  </si>
  <si>
    <t xml:space="preserve">Subsidized Units</t>
  </si>
  <si>
    <t xml:space="preserve">All Bills Paid?</t>
  </si>
  <si>
    <t xml:space="preserve">no</t>
  </si>
  <si>
    <t xml:space="preserve">GSI</t>
  </si>
  <si>
    <t xml:space="preserve">No of Units</t>
  </si>
  <si>
    <t xml:space="preserve">Beds</t>
  </si>
  <si>
    <t xml:space="preserve">Baths</t>
  </si>
  <si>
    <t xml:space="preserve">Curr Rent/mo</t>
  </si>
  <si>
    <t xml:space="preserve">TTL Month rent</t>
  </si>
  <si>
    <t xml:space="preserve">Taxes Due next year</t>
  </si>
  <si>
    <t xml:space="preserve">Insurance</t>
  </si>
  <si>
    <t xml:space="preserve">Water &amp; Sewer</t>
  </si>
  <si>
    <t xml:space="preserve">Flood Insurance</t>
  </si>
  <si>
    <t xml:space="preserve">Trash Removal</t>
  </si>
  <si>
    <t xml:space="preserve">Electric </t>
  </si>
  <si>
    <t xml:space="preserve">Gas</t>
  </si>
  <si>
    <t xml:space="preserve">Oil</t>
  </si>
  <si>
    <t xml:space="preserve">Legal &amp; Acct, license &amp; permit</t>
  </si>
  <si>
    <t xml:space="preserve">Management Fees</t>
  </si>
  <si>
    <t xml:space="preserve">eff</t>
  </si>
  <si>
    <t xml:space="preserve">Onsite Payroll &amp; benefits</t>
  </si>
  <si>
    <t xml:space="preserve">Total Units</t>
  </si>
  <si>
    <t xml:space="preserve">Total Rent</t>
  </si>
  <si>
    <t xml:space="preserve">Repairs &amp; Maintenance</t>
  </si>
  <si>
    <t xml:space="preserve">  *** never use less than 10% for vacancy; use true economic vacancy if known</t>
  </si>
  <si>
    <t xml:space="preserve">Supplies &amp; Miscellaneous</t>
  </si>
  <si>
    <t xml:space="preserve">Total Income Analysis</t>
  </si>
  <si>
    <t xml:space="preserve">Pest Control</t>
  </si>
  <si>
    <t xml:space="preserve">Total Monthly Income ($/mo)</t>
  </si>
  <si>
    <t xml:space="preserve">Telephone</t>
  </si>
  <si>
    <r>
      <rPr>
        <sz val="10"/>
        <rFont val="Arial"/>
        <family val="2"/>
        <charset val="1"/>
      </rPr>
      <t xml:space="preserve">Total Gross Yearly Income (</t>
    </r>
    <r>
      <rPr>
        <b val="true"/>
        <sz val="10"/>
        <rFont val="Arial"/>
        <family val="2"/>
        <charset val="1"/>
      </rPr>
      <t xml:space="preserve">GYI</t>
    </r>
    <r>
      <rPr>
        <sz val="10"/>
        <rFont val="Arial"/>
        <family val="2"/>
        <charset val="1"/>
      </rPr>
      <t xml:space="preserve">)</t>
    </r>
  </si>
  <si>
    <t xml:space="preserve">Advertising/marketing</t>
  </si>
  <si>
    <t xml:space="preserve">Other Income</t>
  </si>
  <si>
    <t xml:space="preserve">Pool Maintenance/landscaping</t>
  </si>
  <si>
    <r>
      <rPr>
        <sz val="10"/>
        <rFont val="Arial"/>
        <family val="2"/>
        <charset val="1"/>
      </rPr>
      <t xml:space="preserve">Total Gross Scheduled Income (</t>
    </r>
    <r>
      <rPr>
        <b val="true"/>
        <sz val="10"/>
        <rFont val="Arial"/>
        <family val="2"/>
        <charset val="1"/>
      </rPr>
      <t xml:space="preserve">GSI</t>
    </r>
    <r>
      <rPr>
        <sz val="10"/>
        <rFont val="Arial"/>
        <family val="2"/>
        <charset val="1"/>
      </rPr>
      <t xml:space="preserve">)</t>
    </r>
  </si>
  <si>
    <t xml:space="preserve">General Admin</t>
  </si>
  <si>
    <r>
      <rPr>
        <sz val="10"/>
        <color rgb="FFDD0806"/>
        <rFont val="Arial"/>
        <family val="2"/>
        <charset val="1"/>
      </rPr>
      <t xml:space="preserve">Vacancy % </t>
    </r>
    <r>
      <rPr>
        <b val="true"/>
        <sz val="10"/>
        <rFont val="Arial"/>
        <family val="2"/>
        <charset val="1"/>
      </rPr>
      <t xml:space="preserve"> </t>
    </r>
    <r>
      <rPr>
        <b val="true"/>
        <sz val="12"/>
        <color rgb="FFFF0000"/>
        <rFont val="Arial"/>
        <family val="2"/>
        <charset val="1"/>
      </rPr>
      <t xml:space="preserve">***</t>
    </r>
  </si>
  <si>
    <t xml:space="preserve">Other Contract Services</t>
  </si>
  <si>
    <t xml:space="preserve">Op Expenses</t>
  </si>
  <si>
    <t xml:space="preserve">Security</t>
  </si>
  <si>
    <t xml:space="preserve">Net Operating Income</t>
  </si>
  <si>
    <t xml:space="preserve">Other</t>
  </si>
  <si>
    <t xml:space="preserve">Cap Rate Asking Price</t>
  </si>
  <si>
    <t xml:space="preserve">N/A for low occupancy deals</t>
  </si>
  <si>
    <t xml:space="preserve">Cap Rate Offer Price</t>
  </si>
  <si>
    <t xml:space="preserve">Total operating Expenses</t>
  </si>
  <si>
    <t xml:space="preserve">Cap Rate on Offer + Rehab</t>
  </si>
  <si>
    <r>
      <rPr>
        <sz val="10"/>
        <rFont val="Arial"/>
        <family val="2"/>
        <charset val="1"/>
      </rPr>
      <t xml:space="preserve">Total Expenses / </t>
    </r>
    <r>
      <rPr>
        <b val="true"/>
        <sz val="10"/>
        <rFont val="Arial"/>
        <family val="2"/>
        <charset val="1"/>
      </rPr>
      <t xml:space="preserve">GSI</t>
    </r>
  </si>
  <si>
    <t xml:space="preserve">Debt Service Analysis</t>
  </si>
  <si>
    <t xml:space="preserve">Down Payment</t>
  </si>
  <si>
    <t xml:space="preserve">Closing Costs</t>
  </si>
  <si>
    <t xml:space="preserve">rehab needed/deferred maint</t>
  </si>
  <si>
    <t xml:space="preserve">1st Mortgage </t>
  </si>
  <si>
    <t xml:space="preserve">Term yrs</t>
  </si>
  <si>
    <t xml:space="preserve">2nd Mortgage</t>
  </si>
  <si>
    <t xml:space="preserve">Total</t>
  </si>
  <si>
    <t xml:space="preserve">"PMT(rate/12,Term*12,Amt)"</t>
  </si>
  <si>
    <t xml:space="preserve">Total </t>
  </si>
  <si>
    <t xml:space="preserve">($ / Mo)</t>
  </si>
  <si>
    <t xml:space="preserve">Total Annual Debt Service</t>
  </si>
  <si>
    <t xml:space="preserve">($ / Yr)</t>
  </si>
  <si>
    <t xml:space="preserve">Estimated DSCR</t>
  </si>
  <si>
    <t xml:space="preserve">Cash Flow Analysis</t>
  </si>
  <si>
    <t xml:space="preserve">Value Plays/ notes</t>
  </si>
  <si>
    <t xml:space="preserve">Total Debt Service</t>
  </si>
  <si>
    <t xml:space="preserve">Cash Flow</t>
  </si>
  <si>
    <t xml:space="preserve">Cash on Cash Return (CCR):</t>
  </si>
  <si>
    <t xml:space="preserve">Market cap</t>
  </si>
  <si>
    <t xml:space="preserve">MV/ARV =  NOI / market cap</t>
  </si>
  <si>
    <t xml:space="preserve">MARKET VALUE based on market cap</t>
  </si>
  <si>
    <t xml:space="preserve">Use MAO for low occ deals, where economic vac = &gt;40%</t>
  </si>
  <si>
    <t xml:space="preserve">MAO/door</t>
  </si>
  <si>
    <t xml:space="preserve">MAO</t>
  </si>
  <si>
    <t xml:space="preserve">MAO = maximum allowable offer</t>
  </si>
  <si>
    <t xml:space="preserve">MAO = (70% * ARV) - Rehab Cost</t>
  </si>
  <si>
    <r>
      <rPr>
        <sz val="10"/>
        <rFont val="Arial"/>
        <family val="2"/>
        <charset val="1"/>
      </rPr>
      <t xml:space="preserve"> </t>
    </r>
    <r>
      <rPr>
        <b val="true"/>
        <i val="true"/>
        <sz val="9"/>
        <color rgb="FFFFFF00"/>
        <rFont val="Arial"/>
        <family val="2"/>
        <charset val="1"/>
      </rPr>
      <t xml:space="preserve">  *** for MAO calculations, always use 10% vacancy on line 32</t>
    </r>
  </si>
  <si>
    <t xml:space="preserve">rev. 04/24/14</t>
  </si>
  <si>
    <t xml:space="preserve">rev. 06/11/14</t>
  </si>
  <si>
    <t xml:space="preserve">protected most formula cells, but not password protected</t>
  </si>
</sst>
</file>

<file path=xl/styles.xml><?xml version="1.0" encoding="utf-8"?>
<styleSheet xmlns="http://schemas.openxmlformats.org/spreadsheetml/2006/main">
  <numFmts count="11">
    <numFmt numFmtId="164" formatCode="General"/>
    <numFmt numFmtId="165" formatCode="_(\$* #,##0.00_);_(\$* \(#,##0.00\);_(\$* \-??_);_(@_)"/>
    <numFmt numFmtId="166" formatCode="0%"/>
    <numFmt numFmtId="167" formatCode="_(\$* #,##0_);_(\$* \(#,##0\);_(\$* \-_);_(@_)"/>
    <numFmt numFmtId="168" formatCode="d\-mmm"/>
    <numFmt numFmtId="169" formatCode="0.00%"/>
    <numFmt numFmtId="170" formatCode="\$#,##0_);&quot;($&quot;#,##0\)"/>
    <numFmt numFmtId="171" formatCode="General"/>
    <numFmt numFmtId="172" formatCode="\$#,##0.00"/>
    <numFmt numFmtId="173" formatCode="\$#,##0.00_);[RED]&quot;($&quot;#,##0.00\)"/>
    <numFmt numFmtId="174" formatCode="0.00"/>
  </numFmts>
  <fonts count="27">
    <font>
      <sz val="10"/>
      <name val="Arial"/>
      <family val="0"/>
      <charset val="1"/>
    </font>
    <font>
      <sz val="10"/>
      <name val="Arial"/>
      <family val="0"/>
    </font>
    <font>
      <sz val="10"/>
      <name val="Arial"/>
      <family val="0"/>
    </font>
    <font>
      <sz val="10"/>
      <name val="Arial"/>
      <family val="0"/>
    </font>
    <font>
      <b val="true"/>
      <sz val="12"/>
      <color rgb="FFFFFFFF"/>
      <name val="Arial"/>
      <family val="2"/>
      <charset val="1"/>
    </font>
    <font>
      <b val="true"/>
      <sz val="12"/>
      <name val="Arial"/>
      <family val="2"/>
      <charset val="1"/>
    </font>
    <font>
      <b val="true"/>
      <sz val="12"/>
      <color rgb="FFFFFF00"/>
      <name val="Arial"/>
      <family val="2"/>
      <charset val="1"/>
    </font>
    <font>
      <b val="true"/>
      <sz val="12"/>
      <color rgb="FFFFC000"/>
      <name val="Arial"/>
      <family val="2"/>
      <charset val="1"/>
    </font>
    <font>
      <sz val="10"/>
      <name val="Arial"/>
      <family val="2"/>
      <charset val="1"/>
    </font>
    <font>
      <b val="true"/>
      <sz val="10"/>
      <name val="Arial"/>
      <family val="2"/>
      <charset val="1"/>
    </font>
    <font>
      <sz val="10"/>
      <color rgb="FFFF0000"/>
      <name val="Arial"/>
      <family val="2"/>
      <charset val="1"/>
    </font>
    <font>
      <i val="true"/>
      <sz val="9"/>
      <color rgb="FFFFFF00"/>
      <name val="Arial"/>
      <family val="2"/>
      <charset val="1"/>
    </font>
    <font>
      <sz val="10"/>
      <color rgb="FFDD0806"/>
      <name val="Arial"/>
      <family val="2"/>
      <charset val="1"/>
    </font>
    <font>
      <b val="true"/>
      <sz val="12"/>
      <color rgb="FFFF0000"/>
      <name val="Arial"/>
      <family val="2"/>
      <charset val="1"/>
    </font>
    <font>
      <b val="true"/>
      <i val="true"/>
      <sz val="9"/>
      <color rgb="FFFF0000"/>
      <name val="Arial"/>
      <family val="2"/>
      <charset val="1"/>
    </font>
    <font>
      <b val="true"/>
      <sz val="10"/>
      <color rgb="FFFF0000"/>
      <name val="Arial"/>
      <family val="2"/>
      <charset val="1"/>
    </font>
    <font>
      <sz val="10"/>
      <color rgb="FF969696"/>
      <name val="Arial"/>
      <family val="2"/>
      <charset val="1"/>
    </font>
    <font>
      <i val="true"/>
      <sz val="8"/>
      <color rgb="FFFF0000"/>
      <name val="Arial"/>
      <family val="2"/>
      <charset val="1"/>
    </font>
    <font>
      <i val="true"/>
      <sz val="9"/>
      <color theme="0" tint="-0.5"/>
      <name val="Arial"/>
      <family val="2"/>
      <charset val="1"/>
    </font>
    <font>
      <b val="true"/>
      <u val="single"/>
      <sz val="10"/>
      <name val="Arial"/>
      <family val="2"/>
      <charset val="1"/>
    </font>
    <font>
      <sz val="8"/>
      <color theme="0" tint="-0.5"/>
      <name val="Arial"/>
      <family val="2"/>
      <charset val="1"/>
    </font>
    <font>
      <i val="true"/>
      <sz val="9"/>
      <color rgb="FFFF0000"/>
      <name val="Arial"/>
      <family val="2"/>
      <charset val="1"/>
    </font>
    <font>
      <sz val="9"/>
      <color theme="0" tint="-0.5"/>
      <name val="Arial"/>
      <family val="2"/>
      <charset val="1"/>
    </font>
    <font>
      <b val="true"/>
      <i val="true"/>
      <sz val="9"/>
      <color rgb="FFFFFF00"/>
      <name val="Arial"/>
      <family val="2"/>
      <charset val="1"/>
    </font>
    <font>
      <sz val="10"/>
      <name val="Arial"/>
      <family val="2"/>
    </font>
    <font>
      <b val="true"/>
      <sz val="9"/>
      <color rgb="FF000000"/>
      <name val="Tahoma"/>
      <family val="2"/>
      <charset val="1"/>
    </font>
    <font>
      <sz val="9"/>
      <color rgb="FF000000"/>
      <name val="Tahoma"/>
      <family val="2"/>
      <charset val="1"/>
    </font>
  </fonts>
  <fills count="18">
    <fill>
      <patternFill patternType="none"/>
    </fill>
    <fill>
      <patternFill patternType="gray125"/>
    </fill>
    <fill>
      <patternFill patternType="solid">
        <fgColor rgb="FF006411"/>
        <bgColor rgb="FF003300"/>
      </patternFill>
    </fill>
    <fill>
      <patternFill patternType="solid">
        <fgColor theme="0"/>
        <bgColor rgb="FFFFFFCC"/>
      </patternFill>
    </fill>
    <fill>
      <patternFill patternType="solid">
        <fgColor rgb="FFFFFF99"/>
        <bgColor rgb="FFFFFFCC"/>
      </patternFill>
    </fill>
    <fill>
      <patternFill patternType="solid">
        <fgColor rgb="FFFFFFCC"/>
        <bgColor rgb="FFEBF1DE"/>
      </patternFill>
    </fill>
    <fill>
      <patternFill patternType="solid">
        <fgColor rgb="FFFFFF00"/>
        <bgColor rgb="FFFFFF66"/>
      </patternFill>
    </fill>
    <fill>
      <patternFill patternType="solid">
        <fgColor rgb="FF808080"/>
        <bgColor rgb="FF969696"/>
      </patternFill>
    </fill>
    <fill>
      <patternFill patternType="solid">
        <fgColor rgb="FFFFFF66"/>
        <bgColor rgb="FFFFFF99"/>
      </patternFill>
    </fill>
    <fill>
      <patternFill patternType="solid">
        <fgColor rgb="FFC0C0C0"/>
        <bgColor rgb="FFBFBFBF"/>
      </patternFill>
    </fill>
    <fill>
      <patternFill patternType="solid">
        <fgColor rgb="FF92D050"/>
        <bgColor rgb="FFC3D69B"/>
      </patternFill>
    </fill>
    <fill>
      <patternFill patternType="solid">
        <fgColor theme="9" tint="0.5999"/>
        <bgColor rgb="FFD9D9D9"/>
      </patternFill>
    </fill>
    <fill>
      <patternFill patternType="solid">
        <fgColor rgb="FF00B050"/>
        <bgColor rgb="FF008080"/>
      </patternFill>
    </fill>
    <fill>
      <patternFill patternType="solid">
        <fgColor theme="6" tint="0.3999"/>
        <bgColor rgb="FFC0C0C0"/>
      </patternFill>
    </fill>
    <fill>
      <patternFill patternType="solid">
        <fgColor theme="6" tint="0.7999"/>
        <bgColor rgb="FFDBEEF4"/>
      </patternFill>
    </fill>
    <fill>
      <patternFill patternType="solid">
        <fgColor theme="0" tint="-0.25"/>
        <bgColor rgb="FFC0C0C0"/>
      </patternFill>
    </fill>
    <fill>
      <patternFill patternType="solid">
        <fgColor theme="0" tint="-0.15"/>
        <bgColor rgb="FFDBEEF4"/>
      </patternFill>
    </fill>
    <fill>
      <patternFill patternType="solid">
        <fgColor theme="8" tint="0.7999"/>
        <bgColor rgb="FFEBF1DE"/>
      </patternFill>
    </fill>
  </fills>
  <borders count="4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ck"/>
      <top style="thin"/>
      <bottom style="thin"/>
      <diagonal/>
    </border>
    <border diagonalUp="false" diagonalDown="false">
      <left style="thick"/>
      <right/>
      <top style="thick"/>
      <bottom/>
      <diagonal/>
    </border>
    <border diagonalUp="false" diagonalDown="false">
      <left/>
      <right style="thin"/>
      <top style="thick"/>
      <bottom/>
      <diagonal/>
    </border>
    <border diagonalUp="false" diagonalDown="false">
      <left style="thin"/>
      <right style="thin"/>
      <top style="thick"/>
      <bottom style="thin"/>
      <diagonal/>
    </border>
    <border diagonalUp="false" diagonalDown="false">
      <left style="thin"/>
      <right/>
      <top style="thick"/>
      <bottom/>
      <diagonal/>
    </border>
    <border diagonalUp="false" diagonalDown="false">
      <left/>
      <right/>
      <top style="thick"/>
      <bottom/>
      <diagonal/>
    </border>
    <border diagonalUp="false" diagonalDown="false">
      <left style="thick"/>
      <right/>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style="thin"/>
      <bottom style="thick"/>
      <diagonal/>
    </border>
    <border diagonalUp="false" diagonalDown="false">
      <left style="thin"/>
      <right/>
      <top/>
      <bottom style="thick"/>
      <diagonal/>
    </border>
    <border diagonalUp="false" diagonalDown="false">
      <left style="thick"/>
      <right/>
      <top style="thick"/>
      <bottom style="thick"/>
      <diagonal/>
    </border>
    <border diagonalUp="false" diagonalDown="false">
      <left style="thin"/>
      <right style="thick"/>
      <top style="thick"/>
      <bottom/>
      <diagonal/>
    </border>
    <border diagonalUp="false" diagonalDown="false">
      <left style="thin"/>
      <right style="thin"/>
      <top style="thin"/>
      <bottom/>
      <diagonal/>
    </border>
    <border diagonalUp="false" diagonalDown="false">
      <left style="thin"/>
      <right style="thick"/>
      <top/>
      <bottom style="thick"/>
      <diagonal/>
    </border>
    <border diagonalUp="false" diagonalDown="false">
      <left/>
      <right/>
      <top style="thick"/>
      <bottom style="thin"/>
      <diagonal/>
    </border>
    <border diagonalUp="false" diagonalDown="false">
      <left style="thin"/>
      <right style="thin"/>
      <top style="thin"/>
      <bottom style="thin"/>
      <diagonal/>
    </border>
    <border diagonalUp="false" diagonalDown="false">
      <left style="thick"/>
      <right style="thick"/>
      <top style="thick"/>
      <bottom style="thick"/>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ck"/>
      <diagonal/>
    </border>
    <border diagonalUp="false" diagonalDown="false">
      <left/>
      <right style="thin"/>
      <top/>
      <bottom style="thin"/>
      <diagonal/>
    </border>
    <border diagonalUp="false" diagonalDown="false">
      <left style="thin"/>
      <right style="thick"/>
      <top/>
      <bottom/>
      <diagonal/>
    </border>
    <border diagonalUp="false" diagonalDown="false">
      <left style="thick"/>
      <right/>
      <top style="thick"/>
      <bottom style="medium"/>
      <diagonal/>
    </border>
    <border diagonalUp="false" diagonalDown="false">
      <left style="thick"/>
      <right style="thick"/>
      <top/>
      <bottom style="thick"/>
      <diagonal/>
    </border>
    <border diagonalUp="false" diagonalDown="false">
      <left style="medium"/>
      <right style="medium"/>
      <top style="medium"/>
      <bottom style="medium"/>
      <diagonal/>
    </border>
    <border diagonalUp="false" diagonalDown="false">
      <left style="thin"/>
      <right/>
      <top style="medium"/>
      <bottom/>
      <diagonal/>
    </border>
    <border diagonalUp="false" diagonalDown="false">
      <left/>
      <right style="medium"/>
      <top style="medium"/>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right style="medium"/>
      <top/>
      <bottom/>
      <diagonal/>
    </border>
    <border diagonalUp="false" diagonalDown="false">
      <left style="thin"/>
      <right/>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general" vertical="bottom" textRotation="0" wrapText="false" indent="0" shrinkToFit="false"/>
      <protection locked="false" hidden="false"/>
    </xf>
    <xf numFmtId="164" fontId="5" fillId="2" borderId="2" xfId="0" applyFont="true" applyBorder="true" applyAlignment="true" applyProtection="true">
      <alignment horizontal="general" vertical="bottom" textRotation="0" wrapText="false" indent="0" shrinkToFit="false"/>
      <protection locked="false" hidden="false"/>
    </xf>
    <xf numFmtId="164" fontId="4" fillId="2" borderId="2" xfId="0" applyFont="true" applyBorder="true" applyAlignment="true" applyProtection="true">
      <alignment horizontal="general" vertical="bottom" textRotation="0" wrapText="false" indent="0" shrinkToFit="false"/>
      <protection locked="false" hidden="false"/>
    </xf>
    <xf numFmtId="164" fontId="6" fillId="2" borderId="2" xfId="0" applyFont="true" applyBorder="true" applyAlignment="true" applyProtection="true">
      <alignment horizontal="general" vertical="bottom" textRotation="0" wrapText="false" indent="0" shrinkToFit="false"/>
      <protection locked="false" hidden="false"/>
    </xf>
    <xf numFmtId="164" fontId="7" fillId="2" borderId="2" xfId="0" applyFont="true" applyBorder="true" applyAlignment="true" applyProtection="true">
      <alignment horizontal="general" vertical="bottom" textRotation="0" wrapText="false" indent="0" shrinkToFit="false"/>
      <protection locked="false" hidden="false"/>
    </xf>
    <xf numFmtId="164" fontId="5" fillId="2" borderId="3" xfId="0" applyFont="true" applyBorder="tru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4" fontId="0" fillId="3" borderId="4" xfId="0" applyFont="true" applyBorder="true" applyAlignment="true" applyProtection="true">
      <alignment horizontal="general" vertical="bottom" textRotation="0" wrapText="false" indent="0" shrinkToFit="false"/>
      <protection locked="false" hidden="false"/>
    </xf>
    <xf numFmtId="164" fontId="8" fillId="4" borderId="5" xfId="0" applyFont="true" applyBorder="true" applyAlignment="true" applyProtection="true">
      <alignment horizontal="general" vertical="bottom" textRotation="0" wrapText="false" indent="0" shrinkToFit="false"/>
      <protection locked="false" hidden="false"/>
    </xf>
    <xf numFmtId="164" fontId="0" fillId="3" borderId="6" xfId="0" applyFont="true" applyBorder="true" applyAlignment="true" applyProtection="true">
      <alignment horizontal="general" vertical="bottom" textRotation="0" wrapText="false" indent="0" shrinkToFit="false"/>
      <protection locked="false" hidden="false"/>
    </xf>
    <xf numFmtId="164" fontId="0" fillId="3" borderId="7" xfId="0" applyFont="false" applyBorder="true" applyAlignment="true" applyProtection="true">
      <alignment horizontal="general" vertical="bottom" textRotation="0" wrapText="false" indent="0" shrinkToFit="false"/>
      <protection locked="false" hidden="false"/>
    </xf>
    <xf numFmtId="167" fontId="0" fillId="5" borderId="8" xfId="0" applyFont="false" applyBorder="true" applyAlignment="true" applyProtection="true">
      <alignment horizontal="general" vertical="bottom" textRotation="0" wrapText="false" indent="0" shrinkToFit="false"/>
      <protection locked="false" hidden="false"/>
    </xf>
    <xf numFmtId="164" fontId="8" fillId="3" borderId="9" xfId="0" applyFont="true" applyBorder="true" applyAlignment="true" applyProtection="true">
      <alignment horizontal="general" vertical="bottom" textRotation="0" wrapText="false" indent="0" shrinkToFit="false"/>
      <protection locked="false" hidden="false"/>
    </xf>
    <xf numFmtId="167" fontId="0" fillId="0" borderId="10" xfId="0" applyFont="false" applyBorder="true" applyAlignment="true" applyProtection="true">
      <alignment horizontal="general" vertical="bottom" textRotation="0" wrapText="false" indent="0" shrinkToFit="false"/>
      <protection locked="true" hidden="false"/>
    </xf>
    <xf numFmtId="164" fontId="0" fillId="3" borderId="11" xfId="0" applyFont="false" applyBorder="true" applyAlignment="true" applyProtection="true">
      <alignment horizontal="general" vertical="bottom" textRotation="0" wrapText="false" indent="0" shrinkToFit="false"/>
      <protection locked="false" hidden="false"/>
    </xf>
    <xf numFmtId="164" fontId="0" fillId="3" borderId="12" xfId="0" applyFont="false" applyBorder="true" applyAlignment="true" applyProtection="true">
      <alignment horizontal="general" vertical="bottom" textRotation="0" wrapText="false" indent="0" shrinkToFit="false"/>
      <protection locked="false" hidden="false"/>
    </xf>
    <xf numFmtId="164" fontId="8" fillId="3" borderId="4" xfId="0" applyFont="true" applyBorder="true" applyAlignment="true" applyProtection="true">
      <alignment horizontal="general" vertical="bottom" textRotation="0" wrapText="false" indent="0" shrinkToFit="false"/>
      <protection locked="false" hidden="false"/>
    </xf>
    <xf numFmtId="164" fontId="8" fillId="4" borderId="13" xfId="0" applyFont="true" applyBorder="true" applyAlignment="true" applyProtection="true">
      <alignment horizontal="center" vertical="bottom" textRotation="0" wrapText="false" indent="0" shrinkToFit="false"/>
      <protection locked="false" hidden="false"/>
    </xf>
    <xf numFmtId="164" fontId="8" fillId="3" borderId="0" xfId="0" applyFont="true" applyBorder="true" applyAlignment="true" applyProtection="true">
      <alignment horizontal="general" vertical="bottom" textRotation="0" wrapText="false" indent="0" shrinkToFit="false"/>
      <protection locked="false" hidden="false"/>
    </xf>
    <xf numFmtId="164" fontId="0" fillId="4" borderId="0" xfId="0" applyFont="false" applyBorder="true" applyAlignment="true" applyProtection="true">
      <alignment horizontal="center" vertical="bottom" textRotation="0" wrapText="false" indent="0" shrinkToFit="false"/>
      <protection locked="false" hidden="false"/>
    </xf>
    <xf numFmtId="164" fontId="0" fillId="3" borderId="0" xfId="0" applyFont="false" applyBorder="true" applyAlignment="true" applyProtection="true">
      <alignment horizontal="general" vertical="bottom" textRotation="0" wrapText="false" indent="0" shrinkToFit="false"/>
      <protection locked="false" hidden="false"/>
    </xf>
    <xf numFmtId="167" fontId="0" fillId="6" borderId="14" xfId="0" applyFont="false" applyBorder="true" applyAlignment="true" applyProtection="true">
      <alignment horizontal="general" vertical="bottom" textRotation="0" wrapText="false" indent="0" shrinkToFit="false"/>
      <protection locked="false" hidden="false"/>
    </xf>
    <xf numFmtId="164" fontId="8" fillId="3" borderId="15" xfId="0" applyFont="true" applyBorder="true" applyAlignment="true" applyProtection="true">
      <alignment horizontal="general" vertical="bottom" textRotation="0" wrapText="false" indent="0" shrinkToFit="false"/>
      <protection locked="false" hidden="false"/>
    </xf>
    <xf numFmtId="167" fontId="0" fillId="0" borderId="0" xfId="0" applyFont="false" applyBorder="true" applyAlignment="true" applyProtection="true">
      <alignment horizontal="general" vertical="bottom" textRotation="0" wrapText="false" indent="0" shrinkToFit="false"/>
      <protection locked="true" hidden="false"/>
    </xf>
    <xf numFmtId="164" fontId="0" fillId="4" borderId="5" xfId="0" applyFont="true" applyBorder="true" applyAlignment="true" applyProtection="true">
      <alignment horizontal="left" vertical="bottom" textRotation="0" wrapText="false" indent="0" shrinkToFit="false"/>
      <protection locked="false" hidden="false"/>
    </xf>
    <xf numFmtId="164" fontId="0" fillId="3" borderId="16" xfId="0" applyFont="true" applyBorder="true" applyAlignment="true" applyProtection="true">
      <alignment horizontal="general" vertical="bottom" textRotation="0" wrapText="false" indent="0" shrinkToFit="false"/>
      <protection locked="false" hidden="false"/>
    </xf>
    <xf numFmtId="164" fontId="0" fillId="5" borderId="4" xfId="0" applyFont="false" applyBorder="true" applyAlignment="true" applyProtection="true">
      <alignment horizontal="general" vertical="bottom" textRotation="0" wrapText="false" indent="0" shrinkToFit="false"/>
      <protection locked="false" hidden="false"/>
    </xf>
    <xf numFmtId="164" fontId="0" fillId="3" borderId="10" xfId="0" applyFont="false" applyBorder="true" applyAlignment="true" applyProtection="true">
      <alignment horizontal="general" vertical="bottom" textRotation="0" wrapText="false" indent="0" shrinkToFit="false"/>
      <protection locked="false" hidden="false"/>
    </xf>
    <xf numFmtId="164" fontId="8" fillId="3" borderId="6" xfId="0" applyFont="true" applyBorder="true" applyAlignment="true" applyProtection="true">
      <alignment horizontal="general" vertical="bottom" textRotation="0" wrapText="false" indent="0" shrinkToFit="false"/>
      <protection locked="false" hidden="false"/>
    </xf>
    <xf numFmtId="167" fontId="0" fillId="3" borderId="8" xfId="0" applyFont="false" applyBorder="true" applyAlignment="true" applyProtection="true">
      <alignment horizontal="general" vertical="bottom" textRotation="0" wrapText="false" indent="0" shrinkToFit="false"/>
      <protection locked="true" hidden="false"/>
    </xf>
    <xf numFmtId="167" fontId="0" fillId="0" borderId="17" xfId="0" applyFont="false" applyBorder="true" applyAlignment="true" applyProtection="true">
      <alignment horizontal="general" vertical="bottom" textRotation="0" wrapText="false" indent="0" shrinkToFit="false"/>
      <protection locked="true" hidden="false"/>
    </xf>
    <xf numFmtId="164" fontId="9" fillId="3" borderId="4" xfId="0" applyFont="true" applyBorder="true" applyAlignment="true" applyProtection="true">
      <alignment horizontal="general" vertical="bottom" textRotation="0" wrapText="false" indent="0" shrinkToFit="false"/>
      <protection locked="false" hidden="false"/>
    </xf>
    <xf numFmtId="164" fontId="8" fillId="3" borderId="11" xfId="0" applyFont="true" applyBorder="true" applyAlignment="true" applyProtection="true">
      <alignment horizontal="general" vertical="bottom" textRotation="0" wrapText="false" indent="0" shrinkToFit="false"/>
      <protection locked="false" hidden="false"/>
    </xf>
    <xf numFmtId="167" fontId="0" fillId="3" borderId="18" xfId="0" applyFont="false" applyBorder="true" applyAlignment="true" applyProtection="true">
      <alignment horizontal="general" vertical="bottom" textRotation="0" wrapText="false" indent="0" shrinkToFit="false"/>
      <protection locked="true" hidden="false"/>
    </xf>
    <xf numFmtId="167" fontId="0" fillId="0" borderId="19" xfId="0" applyFont="false" applyBorder="true" applyAlignment="true" applyProtection="true">
      <alignment horizontal="general" vertical="bottom" textRotation="0" wrapText="false" indent="0" shrinkToFit="false"/>
      <protection locked="true" hidden="false"/>
    </xf>
    <xf numFmtId="164" fontId="8" fillId="3" borderId="10" xfId="0" applyFont="true" applyBorder="true" applyAlignment="true" applyProtection="true">
      <alignment horizontal="general" vertical="bottom" textRotation="0" wrapText="false" indent="0" shrinkToFit="false"/>
      <protection locked="false" hidden="false"/>
    </xf>
    <xf numFmtId="167" fontId="0" fillId="3" borderId="20" xfId="0" applyFont="false" applyBorder="true" applyAlignment="true" applyProtection="true">
      <alignment horizontal="general" vertical="bottom" textRotation="0" wrapText="false" indent="0" shrinkToFit="false"/>
      <protection locked="false" hidden="false"/>
    </xf>
    <xf numFmtId="167" fontId="0" fillId="3" borderId="0" xfId="0" applyFont="false" applyBorder="true" applyAlignment="true" applyProtection="true">
      <alignment horizontal="general" vertical="bottom" textRotation="0" wrapText="false" indent="0" shrinkToFit="false"/>
      <protection locked="false" hidden="false"/>
    </xf>
    <xf numFmtId="164" fontId="0" fillId="3" borderId="0" xfId="0" applyFont="false" applyBorder="false" applyAlignment="true" applyProtection="true">
      <alignment horizontal="general" vertical="bottom" textRotation="0" wrapText="false" indent="0" shrinkToFit="false"/>
      <protection locked="false" hidden="false"/>
    </xf>
    <xf numFmtId="167" fontId="0" fillId="4" borderId="21" xfId="0" applyFont="false" applyBorder="true" applyAlignment="true" applyProtection="true">
      <alignment horizontal="general" vertical="bottom" textRotation="0" wrapText="false" indent="0" shrinkToFit="false"/>
      <protection locked="false" hidden="false"/>
    </xf>
    <xf numFmtId="164" fontId="0" fillId="3" borderId="0" xfId="0" applyFont="true" applyBorder="true" applyAlignment="true" applyProtection="true">
      <alignment horizontal="right" vertical="bottom" textRotation="0" wrapText="false" indent="0" shrinkToFit="false"/>
      <protection locked="false" hidden="false"/>
    </xf>
    <xf numFmtId="164" fontId="0" fillId="4" borderId="21" xfId="0" applyFont="false" applyBorder="true" applyAlignment="true" applyProtection="true">
      <alignment horizontal="general" vertical="bottom" textRotation="0" wrapText="false" indent="0" shrinkToFit="false"/>
      <protection locked="false" hidden="false"/>
    </xf>
    <xf numFmtId="164" fontId="8" fillId="3" borderId="0" xfId="0" applyFont="true" applyBorder="true" applyAlignment="true" applyProtection="true">
      <alignment horizontal="right" vertical="bottom" textRotation="0" wrapText="false" indent="0" shrinkToFit="false"/>
      <protection locked="false" hidden="false"/>
    </xf>
    <xf numFmtId="164" fontId="8" fillId="4" borderId="21" xfId="0" applyFont="true" applyBorder="true" applyAlignment="true" applyProtection="true">
      <alignment horizontal="center" vertical="bottom" textRotation="0" wrapText="false" indent="0" shrinkToFit="false"/>
      <protection locked="false" hidden="false"/>
    </xf>
    <xf numFmtId="164" fontId="0" fillId="3" borderId="0" xfId="0" applyFont="false" applyBorder="true" applyAlignment="true" applyProtection="true">
      <alignment horizontal="center" vertical="bottom" textRotation="0" wrapText="false" indent="0" shrinkToFit="false"/>
      <protection locked="false" hidden="false"/>
    </xf>
    <xf numFmtId="164" fontId="0" fillId="7" borderId="4" xfId="0" applyFont="false" applyBorder="true" applyAlignment="true" applyProtection="true">
      <alignment horizontal="general" vertical="bottom" textRotation="0" wrapText="false" indent="0" shrinkToFit="false"/>
      <protection locked="false" hidden="false"/>
    </xf>
    <xf numFmtId="164" fontId="0" fillId="7" borderId="0" xfId="0" applyFont="false" applyBorder="true" applyAlignment="true" applyProtection="true">
      <alignment horizontal="general" vertical="bottom" textRotation="0" wrapText="false" indent="0" shrinkToFit="false"/>
      <protection locked="false" hidden="false"/>
    </xf>
    <xf numFmtId="164" fontId="0" fillId="7" borderId="12" xfId="0" applyFont="false" applyBorder="true" applyAlignment="true" applyProtection="true">
      <alignment horizontal="general" vertical="bottom" textRotation="0" wrapText="false" indent="0" shrinkToFit="false"/>
      <protection locked="false" hidden="false"/>
    </xf>
    <xf numFmtId="164" fontId="9" fillId="3" borderId="0" xfId="0" applyFont="true" applyBorder="true" applyAlignment="true" applyProtection="true">
      <alignment horizontal="general" vertical="bottom" textRotation="0" wrapText="false" indent="0" shrinkToFit="false"/>
      <protection locked="false" hidden="false"/>
    </xf>
    <xf numFmtId="164" fontId="9" fillId="3" borderId="0" xfId="0" applyFont="true" applyBorder="true" applyAlignment="true" applyProtection="true">
      <alignment horizontal="center" vertical="bottom" textRotation="0" wrapText="false" indent="0" shrinkToFit="false"/>
      <protection locked="false" hidden="false"/>
    </xf>
    <xf numFmtId="164" fontId="0" fillId="8" borderId="21" xfId="0" applyFont="false" applyBorder="true" applyAlignment="true" applyProtection="true">
      <alignment horizontal="center" vertical="bottom" textRotation="0" wrapText="false" indent="0" shrinkToFit="false"/>
      <protection locked="false" hidden="false"/>
    </xf>
    <xf numFmtId="164" fontId="10" fillId="3" borderId="0" xfId="0" applyFont="true" applyBorder="true" applyAlignment="true" applyProtection="true">
      <alignment horizontal="general" vertical="bottom" textRotation="0" wrapText="false" indent="0" shrinkToFit="false"/>
      <protection locked="false" hidden="false"/>
    </xf>
    <xf numFmtId="164" fontId="0" fillId="6" borderId="22" xfId="0" applyFont="true" applyBorder="true" applyAlignment="true" applyProtection="true">
      <alignment horizontal="center" vertical="bottom" textRotation="0" wrapText="false" indent="0" shrinkToFit="false"/>
      <protection locked="false" hidden="false"/>
    </xf>
    <xf numFmtId="164" fontId="9" fillId="3" borderId="11" xfId="0" applyFont="true" applyBorder="tru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general" vertical="bottom" textRotation="0" wrapText="false" indent="0" shrinkToFit="false"/>
      <protection locked="false" hidden="false"/>
    </xf>
    <xf numFmtId="164" fontId="0" fillId="3" borderId="23" xfId="0" applyFont="true" applyBorder="true" applyAlignment="true" applyProtection="true">
      <alignment horizontal="general" vertical="bottom" textRotation="0" wrapText="false" indent="0" shrinkToFit="false"/>
      <protection locked="false" hidden="false"/>
    </xf>
    <xf numFmtId="164" fontId="0" fillId="3" borderId="24" xfId="0" applyFont="true" applyBorder="true" applyAlignment="true" applyProtection="true">
      <alignment horizontal="center" vertical="bottom" textRotation="0" wrapText="false" indent="0" shrinkToFit="false"/>
      <protection locked="false" hidden="false"/>
    </xf>
    <xf numFmtId="164" fontId="0" fillId="3" borderId="24" xfId="0" applyFont="true" applyBorder="true" applyAlignment="true" applyProtection="true">
      <alignment horizontal="general" vertical="bottom" textRotation="0" wrapText="false" indent="0" shrinkToFit="false"/>
      <protection locked="false" hidden="false"/>
    </xf>
    <xf numFmtId="164" fontId="8" fillId="3" borderId="24" xfId="0" applyFont="true" applyBorder="true" applyAlignment="true" applyProtection="true">
      <alignment horizontal="general" vertical="bottom" textRotation="0" wrapText="false" indent="0" shrinkToFit="false"/>
      <protection locked="false" hidden="false"/>
    </xf>
    <xf numFmtId="164" fontId="8" fillId="3" borderId="25" xfId="0" applyFont="true" applyBorder="true" applyAlignment="true" applyProtection="true">
      <alignment horizontal="general" vertical="bottom" textRotation="0" wrapText="false" indent="0" shrinkToFit="false"/>
      <protection locked="false" hidden="false"/>
    </xf>
    <xf numFmtId="167" fontId="0" fillId="4" borderId="8" xfId="0" applyFont="false" applyBorder="true" applyAlignment="true" applyProtection="true">
      <alignment horizontal="general" vertical="bottom" textRotation="0" wrapText="false" indent="0" shrinkToFit="false"/>
      <protection locked="false" hidden="false"/>
    </xf>
    <xf numFmtId="169" fontId="0" fillId="3" borderId="13" xfId="19" applyFont="true" applyBorder="true" applyAlignment="true" applyProtection="true">
      <alignment horizontal="center" vertical="bottom" textRotation="0" wrapText="false" indent="0" shrinkToFit="false"/>
      <protection locked="true" hidden="false"/>
    </xf>
    <xf numFmtId="164" fontId="0" fillId="4" borderId="23" xfId="0" applyFont="false" applyBorder="true" applyAlignment="true" applyProtection="true">
      <alignment horizontal="center" vertical="bottom" textRotation="0" wrapText="false" indent="0" shrinkToFit="false"/>
      <protection locked="false" hidden="false"/>
    </xf>
    <xf numFmtId="164" fontId="0" fillId="5" borderId="21" xfId="0" applyFont="false" applyBorder="true" applyAlignment="true" applyProtection="true">
      <alignment horizontal="center" vertical="bottom" textRotation="0" wrapText="false" indent="0" shrinkToFit="false"/>
      <protection locked="false" hidden="false"/>
    </xf>
    <xf numFmtId="170" fontId="0" fillId="4" borderId="21" xfId="17" applyFont="true" applyBorder="true" applyAlignment="true" applyProtection="true">
      <alignment horizontal="general" vertical="bottom" textRotation="0" wrapText="false" indent="0" shrinkToFit="false"/>
      <protection locked="false" hidden="false"/>
    </xf>
    <xf numFmtId="170" fontId="0" fillId="0" borderId="21" xfId="17" applyFont="tru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false" hidden="false"/>
    </xf>
    <xf numFmtId="167" fontId="8" fillId="4" borderId="21" xfId="0" applyFont="true" applyBorder="true" applyAlignment="true" applyProtection="true">
      <alignment horizontal="general" vertical="bottom" textRotation="0" wrapText="false" indent="0" shrinkToFit="false"/>
      <protection locked="false" hidden="false"/>
    </xf>
    <xf numFmtId="164" fontId="0" fillId="4" borderId="21" xfId="0" applyFont="false" applyBorder="true" applyAlignment="true" applyProtection="true">
      <alignment horizontal="center" vertical="bottom" textRotation="0" wrapText="false" indent="0" shrinkToFit="false"/>
      <protection locked="false" hidden="false"/>
    </xf>
    <xf numFmtId="164" fontId="8" fillId="5" borderId="21" xfId="0" applyFont="true" applyBorder="true" applyAlignment="true" applyProtection="true">
      <alignment horizontal="center" vertical="bottom" textRotation="0" wrapText="false" indent="0" shrinkToFit="false"/>
      <protection locked="false" hidden="false"/>
    </xf>
    <xf numFmtId="164" fontId="0" fillId="9" borderId="21" xfId="0" applyFont="true" applyBorder="true" applyAlignment="true" applyProtection="true">
      <alignment horizontal="general" vertical="bottom" textRotation="0" wrapText="false" indent="0" shrinkToFit="false"/>
      <protection locked="false" hidden="false"/>
    </xf>
    <xf numFmtId="171" fontId="0" fillId="0" borderId="21" xfId="0" applyFont="false" applyBorder="true" applyAlignment="true" applyProtection="true">
      <alignment horizontal="center" vertical="bottom" textRotation="0" wrapText="false" indent="0" shrinkToFit="false"/>
      <protection locked="true" hidden="false"/>
    </xf>
    <xf numFmtId="172" fontId="0" fillId="9" borderId="21" xfId="17" applyFont="true" applyBorder="true" applyAlignment="true" applyProtection="true">
      <alignment horizontal="general" vertical="bottom" textRotation="0" wrapText="false" indent="0" shrinkToFit="false"/>
      <protection locked="false" hidden="false"/>
    </xf>
    <xf numFmtId="164" fontId="11" fillId="7" borderId="1" xfId="0" applyFont="true" applyBorder="true" applyAlignment="true" applyProtection="true">
      <alignment horizontal="general" vertical="bottom" textRotation="0" wrapText="false" indent="0" shrinkToFit="false"/>
      <protection locked="false" hidden="false"/>
    </xf>
    <xf numFmtId="172" fontId="0" fillId="3" borderId="0" xfId="0" applyFont="false" applyBorder="true" applyAlignment="true" applyProtection="true">
      <alignment horizontal="general" vertical="bottom" textRotation="0" wrapText="false" indent="0" shrinkToFit="false"/>
      <protection locked="false" hidden="false"/>
    </xf>
    <xf numFmtId="170" fontId="0" fillId="3" borderId="21" xfId="0" applyFont="false" applyBorder="true" applyAlignment="true" applyProtection="true">
      <alignment horizontal="general" vertical="bottom" textRotation="0" wrapText="false" indent="0" shrinkToFit="false"/>
      <protection locked="false" hidden="false"/>
    </xf>
    <xf numFmtId="170" fontId="0" fillId="3" borderId="18" xfId="0" applyFont="false" applyBorder="true" applyAlignment="true" applyProtection="true">
      <alignment horizontal="general" vertical="bottom" textRotation="0" wrapText="false" indent="0" shrinkToFit="false"/>
      <protection locked="true" hidden="false"/>
    </xf>
    <xf numFmtId="164" fontId="0" fillId="3" borderId="12" xfId="0" applyFont="false" applyBorder="true" applyAlignment="true" applyProtection="true">
      <alignment horizontal="right" vertical="bottom" textRotation="0" wrapText="false" indent="0" shrinkToFit="false"/>
      <protection locked="false" hidden="false"/>
    </xf>
    <xf numFmtId="170" fontId="0" fillId="4" borderId="21" xfId="0" applyFont="false" applyBorder="true" applyAlignment="true" applyProtection="true">
      <alignment horizontal="general" vertical="bottom" textRotation="0" wrapText="false" indent="0" shrinkToFit="false"/>
      <protection locked="false" hidden="false"/>
    </xf>
    <xf numFmtId="164" fontId="0" fillId="3" borderId="26" xfId="0" applyFont="false" applyBorder="true" applyAlignment="true" applyProtection="true">
      <alignment horizontal="general" vertical="bottom" textRotation="0" wrapText="false" indent="0" shrinkToFit="false"/>
      <protection locked="false" hidden="false"/>
    </xf>
    <xf numFmtId="172" fontId="0" fillId="3" borderId="27" xfId="0" applyFont="false" applyBorder="true" applyAlignment="true" applyProtection="true">
      <alignment horizontal="general" vertical="bottom" textRotation="0" wrapText="false" indent="0" shrinkToFit="false"/>
      <protection locked="false" hidden="false"/>
    </xf>
    <xf numFmtId="170" fontId="0" fillId="3" borderId="21" xfId="0" applyFont="false" applyBorder="true" applyAlignment="true" applyProtection="true">
      <alignment horizontal="general" vertical="bottom" textRotation="0" wrapText="false" indent="0" shrinkToFit="false"/>
      <protection locked="true" hidden="false"/>
    </xf>
    <xf numFmtId="164" fontId="12" fillId="3" borderId="28" xfId="0" applyFont="true" applyBorder="true" applyAlignment="true" applyProtection="true">
      <alignment horizontal="general" vertical="bottom" textRotation="0" wrapText="false" indent="0" shrinkToFit="false"/>
      <protection locked="false" hidden="false"/>
    </xf>
    <xf numFmtId="169" fontId="0" fillId="6" borderId="29" xfId="0" applyFont="false" applyBorder="true" applyAlignment="true" applyProtection="true">
      <alignment horizontal="general" vertical="bottom" textRotation="0" wrapText="false" indent="0" shrinkToFit="false"/>
      <protection locked="false" hidden="false"/>
    </xf>
    <xf numFmtId="167" fontId="0" fillId="3" borderId="21" xfId="0" applyFont="false" applyBorder="true" applyAlignment="true" applyProtection="true">
      <alignment horizontal="general" vertical="bottom" textRotation="0" wrapText="false" indent="0" shrinkToFit="false"/>
      <protection locked="true" hidden="false"/>
    </xf>
    <xf numFmtId="169" fontId="0" fillId="4" borderId="30" xfId="0" applyFont="false" applyBorder="true" applyAlignment="true" applyProtection="true">
      <alignment horizontal="general" vertical="bottom" textRotation="0" wrapText="false" indent="0" shrinkToFit="false"/>
      <protection locked="false" hidden="false"/>
    </xf>
    <xf numFmtId="172" fontId="0" fillId="3" borderId="3" xfId="0" applyFont="false" applyBorder="true" applyAlignment="true" applyProtection="true">
      <alignment horizontal="general" vertical="bottom" textRotation="0" wrapText="false" indent="0" shrinkToFit="false"/>
      <protection locked="false" hidden="false"/>
    </xf>
    <xf numFmtId="170" fontId="0" fillId="10" borderId="21" xfId="0" applyFont="false" applyBorder="true" applyAlignment="true" applyProtection="true">
      <alignment horizontal="general" vertical="bottom" textRotation="0" wrapText="false" indent="0" shrinkToFit="false"/>
      <protection locked="true" hidden="false"/>
    </xf>
    <xf numFmtId="164" fontId="14" fillId="11" borderId="12" xfId="0" applyFont="true" applyBorder="true" applyAlignment="true" applyProtection="true">
      <alignment horizontal="general" vertical="bottom" textRotation="0" wrapText="false" indent="0" shrinkToFit="false"/>
      <protection locked="false" hidden="false"/>
    </xf>
    <xf numFmtId="169" fontId="0" fillId="3" borderId="21" xfId="0" applyFont="false" applyBorder="true" applyAlignment="true" applyProtection="true">
      <alignment horizontal="general" vertical="bottom" textRotation="0" wrapText="false" indent="0" shrinkToFit="false"/>
      <protection locked="true" hidden="false"/>
    </xf>
    <xf numFmtId="169" fontId="0" fillId="3" borderId="18" xfId="0" applyFont="false" applyBorder="true" applyAlignment="true" applyProtection="true">
      <alignment horizontal="general" vertical="bottom" textRotation="0" wrapText="false" indent="0" shrinkToFit="false"/>
      <protection locked="true" hidden="false"/>
    </xf>
    <xf numFmtId="167" fontId="9" fillId="3" borderId="21" xfId="0" applyFont="true" applyBorder="true" applyAlignment="true" applyProtection="true">
      <alignment horizontal="general" vertical="bottom" textRotation="0" wrapText="false" indent="0" shrinkToFit="false"/>
      <protection locked="true" hidden="false"/>
    </xf>
    <xf numFmtId="164" fontId="14" fillId="11" borderId="0" xfId="0" applyFont="true" applyBorder="true" applyAlignment="true" applyProtection="true">
      <alignment horizontal="general" vertical="bottom" textRotation="0" wrapText="false" indent="0" shrinkToFit="false"/>
      <protection locked="false" hidden="false"/>
    </xf>
    <xf numFmtId="169" fontId="0" fillId="12" borderId="31" xfId="0" applyFont="false" applyBorder="true" applyAlignment="true" applyProtection="true">
      <alignment horizontal="general" vertical="bottom" textRotation="0" wrapText="false" indent="0" shrinkToFit="false"/>
      <protection locked="true" hidden="false"/>
    </xf>
    <xf numFmtId="169" fontId="9" fillId="3" borderId="0" xfId="0" applyFont="true" applyBorder="true" applyAlignment="true" applyProtection="true">
      <alignment horizontal="general" vertical="bottom" textRotation="0" wrapText="false" indent="0" shrinkToFit="false"/>
      <protection locked="true" hidden="false"/>
    </xf>
    <xf numFmtId="167" fontId="0" fillId="0" borderId="21" xfId="0" applyFont="false" applyBorder="true" applyAlignment="true" applyProtection="true">
      <alignment horizontal="general" vertical="bottom" textRotation="0" wrapText="false" indent="0" shrinkToFit="false"/>
      <protection locked="true" hidden="false"/>
    </xf>
    <xf numFmtId="164" fontId="15" fillId="3" borderId="0" xfId="0" applyFont="true" applyBorder="true" applyAlignment="true" applyProtection="true">
      <alignment horizontal="general" vertical="bottom" textRotation="0" wrapText="false" indent="0" shrinkToFit="false"/>
      <protection locked="false" hidden="false"/>
    </xf>
    <xf numFmtId="170" fontId="0" fillId="6" borderId="22" xfId="0" applyFont="false" applyBorder="true" applyAlignment="true" applyProtection="true">
      <alignment horizontal="general" vertical="bottom" textRotation="0" wrapText="false" indent="0" shrinkToFit="false"/>
      <protection locked="false" hidden="false"/>
    </xf>
    <xf numFmtId="169" fontId="0" fillId="4" borderId="21" xfId="0" applyFont="false" applyBorder="true" applyAlignment="true" applyProtection="true">
      <alignment horizontal="right" vertical="bottom" textRotation="0" wrapText="false" indent="0" shrinkToFit="false"/>
      <protection locked="false" hidden="false"/>
    </xf>
    <xf numFmtId="167" fontId="10" fillId="5" borderId="21" xfId="0" applyFont="true" applyBorder="true" applyAlignment="tru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general" vertical="bottom" textRotation="0" wrapText="false" indent="0" shrinkToFit="false"/>
      <protection locked="false" hidden="false"/>
    </xf>
    <xf numFmtId="164" fontId="0" fillId="3" borderId="4" xfId="0" applyFont="true" applyBorder="true" applyAlignment="true" applyProtection="true">
      <alignment horizontal="right" vertical="bottom" textRotation="0" wrapText="false" indent="0" shrinkToFit="false"/>
      <protection locked="false" hidden="false"/>
    </xf>
    <xf numFmtId="167" fontId="0" fillId="3" borderId="21" xfId="0" applyFont="false" applyBorder="true" applyAlignment="true" applyProtection="true">
      <alignment horizontal="general" vertical="bottom" textRotation="0" wrapText="false" indent="0" shrinkToFit="false"/>
      <protection locked="false" hidden="false"/>
    </xf>
    <xf numFmtId="164" fontId="16" fillId="3" borderId="0" xfId="0" applyFont="true" applyBorder="true" applyAlignment="true" applyProtection="true">
      <alignment horizontal="general" vertical="bottom" textRotation="0" wrapText="false" indent="0" shrinkToFit="false"/>
      <protection locked="false" hidden="false"/>
    </xf>
    <xf numFmtId="164" fontId="17" fillId="3" borderId="0" xfId="0" applyFont="true" applyBorder="true" applyAlignment="true" applyProtection="true">
      <alignment horizontal="general" vertical="bottom" textRotation="0" wrapText="false" indent="0" shrinkToFit="false"/>
      <protection locked="false" hidden="false"/>
    </xf>
    <xf numFmtId="173" fontId="0" fillId="3" borderId="0" xfId="0" applyFont="false" applyBorder="false" applyAlignment="true" applyProtection="true">
      <alignment horizontal="general" vertical="bottom" textRotation="0" wrapText="false" indent="0" shrinkToFit="false"/>
      <protection locked="false" hidden="false"/>
    </xf>
    <xf numFmtId="164" fontId="18" fillId="3" borderId="4" xfId="0" applyFont="true" applyBorder="true" applyAlignment="true" applyProtection="true">
      <alignment horizontal="general" vertical="bottom" textRotation="0" wrapText="false" indent="0" shrinkToFit="false"/>
      <protection locked="false" hidden="false"/>
    </xf>
    <xf numFmtId="167" fontId="15" fillId="3" borderId="21" xfId="0" applyFont="true" applyBorder="true" applyAlignment="true" applyProtection="true">
      <alignment horizontal="general" vertical="bottom" textRotation="0" wrapText="false" indent="0" shrinkToFit="false"/>
      <protection locked="true" hidden="false"/>
    </xf>
    <xf numFmtId="164" fontId="8" fillId="3" borderId="4" xfId="0" applyFont="true" applyBorder="true" applyAlignment="true" applyProtection="true">
      <alignment horizontal="right" vertical="bottom" textRotation="0" wrapText="false" indent="0" shrinkToFit="false"/>
      <protection locked="false" hidden="false"/>
    </xf>
    <xf numFmtId="167" fontId="8" fillId="3" borderId="0" xfId="0" applyFont="true" applyBorder="true" applyAlignment="true" applyProtection="true">
      <alignment horizontal="general" vertical="bottom" textRotation="0" wrapText="false" indent="0" shrinkToFit="false"/>
      <protection locked="false" hidden="false"/>
    </xf>
    <xf numFmtId="174" fontId="0" fillId="3" borderId="21" xfId="0" applyFont="false" applyBorder="true" applyAlignment="true" applyProtection="true">
      <alignment horizontal="general" vertical="bottom" textRotation="0" wrapText="false" indent="0" shrinkToFit="false"/>
      <protection locked="true" hidden="false"/>
    </xf>
    <xf numFmtId="164" fontId="19" fillId="3" borderId="12" xfId="0" applyFont="true" applyBorder="true" applyAlignment="true" applyProtection="true">
      <alignment horizontal="center" vertical="bottom" textRotation="0" wrapText="false" indent="0" shrinkToFit="false"/>
      <protection locked="false" hidden="false"/>
    </xf>
    <xf numFmtId="164" fontId="0" fillId="3" borderId="0" xfId="0" applyFont="false" applyBorder="true" applyAlignment="true" applyProtection="true">
      <alignment horizontal="left" vertical="bottom" textRotation="0" wrapText="false" indent="0" shrinkToFit="false"/>
      <protection locked="false" hidden="false"/>
    </xf>
    <xf numFmtId="167" fontId="10" fillId="3" borderId="21" xfId="0" applyFont="true" applyBorder="true" applyAlignment="true" applyProtection="true">
      <alignment horizontal="general" vertical="bottom" textRotation="0" wrapText="false" indent="0" shrinkToFit="false"/>
      <protection locked="false" hidden="false"/>
    </xf>
    <xf numFmtId="164" fontId="0" fillId="3" borderId="12" xfId="0" applyFont="false" applyBorder="true" applyAlignment="true" applyProtection="true">
      <alignment horizontal="left" vertical="bottom" textRotation="0" wrapText="false" indent="0" shrinkToFit="false"/>
      <protection locked="false" hidden="false"/>
    </xf>
    <xf numFmtId="167" fontId="0" fillId="13" borderId="21" xfId="0" applyFont="false" applyBorder="true" applyAlignment="true" applyProtection="true">
      <alignment horizontal="general" vertical="bottom" textRotation="0" wrapText="false" indent="0" shrinkToFit="false"/>
      <protection locked="true" hidden="false"/>
    </xf>
    <xf numFmtId="167" fontId="9" fillId="13" borderId="21" xfId="0" applyFont="true" applyBorder="true" applyAlignment="true" applyProtection="true">
      <alignment horizontal="general" vertical="bottom" textRotation="0" wrapText="false" indent="0" shrinkToFit="false"/>
      <protection locked="true" hidden="false"/>
    </xf>
    <xf numFmtId="169" fontId="0" fillId="14" borderId="21" xfId="0" applyFont="false" applyBorder="true" applyAlignment="true" applyProtection="true">
      <alignment horizontal="general" vertical="bottom" textRotation="0" wrapText="false" indent="0" shrinkToFit="false"/>
      <protection locked="true" hidden="false"/>
    </xf>
    <xf numFmtId="164" fontId="9" fillId="9" borderId="32" xfId="0" applyFont="true" applyBorder="true" applyAlignment="true" applyProtection="true">
      <alignment horizontal="general" vertical="bottom" textRotation="0" wrapText="false" indent="0" shrinkToFit="false"/>
      <protection locked="false" hidden="false"/>
    </xf>
    <xf numFmtId="169" fontId="0" fillId="4" borderId="21" xfId="0" applyFont="false" applyBorder="true" applyAlignment="true" applyProtection="true">
      <alignment horizontal="general" vertical="bottom" textRotation="0" wrapText="false" indent="0" shrinkToFit="false"/>
      <protection locked="false" hidden="false"/>
    </xf>
    <xf numFmtId="164" fontId="0" fillId="15" borderId="0" xfId="0" applyFont="false" applyBorder="true" applyAlignment="true" applyProtection="true">
      <alignment horizontal="general" vertical="bottom" textRotation="0" wrapText="false" indent="0" shrinkToFit="false"/>
      <protection locked="false" hidden="false"/>
    </xf>
    <xf numFmtId="164" fontId="20" fillId="9" borderId="33" xfId="0" applyFont="true" applyBorder="true" applyAlignment="true" applyProtection="true">
      <alignment horizontal="general" vertical="bottom" textRotation="0" wrapText="false" indent="0" shrinkToFit="false"/>
      <protection locked="false" hidden="false"/>
    </xf>
    <xf numFmtId="164" fontId="8" fillId="9" borderId="34" xfId="0" applyFont="true" applyBorder="true" applyAlignment="true" applyProtection="true">
      <alignment horizontal="general" vertical="bottom" textRotation="0" wrapText="false" indent="0" shrinkToFit="false"/>
      <protection locked="false" hidden="false"/>
    </xf>
    <xf numFmtId="164" fontId="0" fillId="15" borderId="35" xfId="0" applyFont="false" applyBorder="true" applyAlignment="true" applyProtection="true">
      <alignment horizontal="general" vertical="bottom" textRotation="0" wrapText="false" indent="0" shrinkToFit="false"/>
      <protection locked="false" hidden="false"/>
    </xf>
    <xf numFmtId="167" fontId="0" fillId="10" borderId="31" xfId="0" applyFont="false" applyBorder="true" applyAlignment="true" applyProtection="true">
      <alignment horizontal="general" vertical="bottom" textRotation="0" wrapText="false" indent="0" shrinkToFit="false"/>
      <protection locked="true" hidden="false"/>
    </xf>
    <xf numFmtId="164" fontId="0" fillId="15" borderId="36" xfId="0" applyFont="false" applyBorder="true" applyAlignment="true" applyProtection="true">
      <alignment horizontal="general" vertical="bottom" textRotation="0" wrapText="false" indent="0" shrinkToFit="false"/>
      <protection locked="false" hidden="false"/>
    </xf>
    <xf numFmtId="164" fontId="14" fillId="16" borderId="32" xfId="0" applyFont="true" applyBorder="true" applyAlignment="true" applyProtection="true">
      <alignment horizontal="general" vertical="bottom" textRotation="0" wrapText="false" indent="0" shrinkToFit="false"/>
      <protection locked="false" hidden="false"/>
    </xf>
    <xf numFmtId="164" fontId="0" fillId="16" borderId="37" xfId="0" applyFont="false" applyBorder="true" applyAlignment="true" applyProtection="true">
      <alignment horizontal="general" vertical="bottom" textRotation="0" wrapText="false" indent="0" shrinkToFit="false"/>
      <protection locked="false" hidden="false"/>
    </xf>
    <xf numFmtId="164" fontId="20" fillId="16" borderId="33" xfId="0" applyFont="true" applyBorder="true" applyAlignment="true" applyProtection="true">
      <alignment horizontal="general" vertical="bottom" textRotation="0" wrapText="false" indent="0" shrinkToFit="false"/>
      <protection locked="false" hidden="false"/>
    </xf>
    <xf numFmtId="164" fontId="8" fillId="16" borderId="4" xfId="0" applyFont="true" applyBorder="true" applyAlignment="true" applyProtection="true">
      <alignment horizontal="right" vertical="bottom" textRotation="0" wrapText="false" indent="0" shrinkToFit="false"/>
      <protection locked="false" hidden="false"/>
    </xf>
    <xf numFmtId="167" fontId="0" fillId="17" borderId="31" xfId="0" applyFont="false" applyBorder="true" applyAlignment="true" applyProtection="true">
      <alignment horizontal="general" vertical="bottom" textRotation="0" wrapText="false" indent="0" shrinkToFit="false"/>
      <protection locked="true" hidden="false"/>
    </xf>
    <xf numFmtId="164" fontId="8" fillId="16" borderId="0" xfId="0" applyFont="true" applyBorder="true" applyAlignment="true" applyProtection="true">
      <alignment horizontal="right" vertical="bottom" textRotation="0" wrapText="false" indent="0" shrinkToFit="false"/>
      <protection locked="false" hidden="false"/>
    </xf>
    <xf numFmtId="164" fontId="0" fillId="16" borderId="38" xfId="0" applyFont="false" applyBorder="true" applyAlignment="true" applyProtection="true">
      <alignment horizontal="general" vertical="bottom" textRotation="0" wrapText="false" indent="0" shrinkToFit="false"/>
      <protection locked="false" hidden="false"/>
    </xf>
    <xf numFmtId="164" fontId="21" fillId="16" borderId="34" xfId="0" applyFont="true" applyBorder="true" applyAlignment="true" applyProtection="true">
      <alignment horizontal="general" vertical="bottom" textRotation="0" wrapText="false" indent="0" shrinkToFit="false"/>
      <protection locked="false" hidden="false"/>
    </xf>
    <xf numFmtId="164" fontId="0" fillId="16" borderId="35" xfId="0" applyFont="false" applyBorder="true" applyAlignment="true" applyProtection="true">
      <alignment horizontal="general" vertical="bottom" textRotation="0" wrapText="false" indent="0" shrinkToFit="false"/>
      <protection locked="false" hidden="false"/>
    </xf>
    <xf numFmtId="164" fontId="21" fillId="16" borderId="35" xfId="0" applyFont="true" applyBorder="true" applyAlignment="true" applyProtection="true">
      <alignment horizontal="general" vertical="bottom" textRotation="0" wrapText="false" indent="0" shrinkToFit="false"/>
      <protection locked="false" hidden="false"/>
    </xf>
    <xf numFmtId="164" fontId="22" fillId="16" borderId="36" xfId="0" applyFont="true" applyBorder="true" applyAlignment="true" applyProtection="true">
      <alignment horizontal="general" vertical="bottom" textRotation="0" wrapText="false" indent="0" shrinkToFit="false"/>
      <protection locked="false" hidden="false"/>
    </xf>
    <xf numFmtId="164" fontId="8" fillId="7" borderId="39" xfId="0" applyFont="true" applyBorder="true" applyAlignment="true" applyProtection="true">
      <alignment horizontal="general" vertical="bottom" textRotation="0" wrapText="false" indent="0" shrinkToFit="false"/>
      <protection locked="false" hidden="false"/>
    </xf>
    <xf numFmtId="164" fontId="0" fillId="7" borderId="27" xfId="0" applyFont="false" applyBorder="tru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general" vertical="bottom" textRotation="0" wrapText="false" indent="0" shrinkToFit="false"/>
      <protection locked="fals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urrency 2" xfId="20"/>
    <cellStyle name="Currency 2 2" xfId="21"/>
    <cellStyle name="Currency 3" xfId="22"/>
    <cellStyle name="Percent 2" xfId="23"/>
    <cellStyle name="Percent 2 2" xfId="24"/>
    <cellStyle name="Percent 3" xfId="25"/>
  </cellStyles>
  <colors>
    <indexedColors>
      <rgbColor rgb="FF000000"/>
      <rgbColor rgb="FFFFFFFF"/>
      <rgbColor rgb="FFFF0000"/>
      <rgbColor rgb="FF00FF00"/>
      <rgbColor rgb="FF0000FF"/>
      <rgbColor rgb="FFFFFF00"/>
      <rgbColor rgb="FFFF00FF"/>
      <rgbColor rgb="FF00FFFF"/>
      <rgbColor rgb="FF800000"/>
      <rgbColor rgb="FF006411"/>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D9D9D9"/>
      <rgbColor rgb="FF000080"/>
      <rgbColor rgb="FFFF00FF"/>
      <rgbColor rgb="FFFFFF66"/>
      <rgbColor rgb="FF00FFFF"/>
      <rgbColor rgb="FF800080"/>
      <rgbColor rgb="FF800000"/>
      <rgbColor rgb="FF008080"/>
      <rgbColor rgb="FF0000FF"/>
      <rgbColor rgb="FF00CCFF"/>
      <rgbColor rgb="FFC3D69B"/>
      <rgbColor rgb="FFEBF1DE"/>
      <rgbColor rgb="FFFFFF99"/>
      <rgbColor rgb="FFBFBFBF"/>
      <rgbColor rgb="FFFF99CC"/>
      <rgbColor rgb="FFCC99FF"/>
      <rgbColor rgb="FFFCD5B5"/>
      <rgbColor rgb="FF3366FF"/>
      <rgbColor rgb="FF33CCCC"/>
      <rgbColor rgb="FF92D050"/>
      <rgbColor rgb="FFFFC000"/>
      <rgbColor rgb="FFFF9900"/>
      <rgbColor rgb="FFFF6600"/>
      <rgbColor rgb="FF666699"/>
      <rgbColor rgb="FF969696"/>
      <rgbColor rgb="FF003366"/>
      <rgbColor rgb="FF00B050"/>
      <rgbColor rgb="FF0033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I17" activeCellId="0" sqref="I17"/>
    </sheetView>
  </sheetViews>
  <sheetFormatPr defaultColWidth="8.88671875" defaultRowHeight="12.75" zeroHeight="false" outlineLevelRow="0" outlineLevelCol="0"/>
  <cols>
    <col collapsed="false" customWidth="true" hidden="false" outlineLevel="0" max="1" min="1" style="1" width="15.33"/>
    <col collapsed="false" customWidth="true" hidden="false" outlineLevel="0" max="2" min="2" style="1" width="14"/>
    <col collapsed="false" customWidth="true" hidden="false" outlineLevel="0" max="3" min="3" style="1" width="9.67"/>
    <col collapsed="false" customWidth="true" hidden="false" outlineLevel="0" max="4" min="4" style="1" width="13.67"/>
    <col collapsed="false" customWidth="true" hidden="false" outlineLevel="0" max="5" min="5" style="1" width="12.88"/>
    <col collapsed="false" customWidth="true" hidden="false" outlineLevel="0" max="6" min="6" style="1" width="0.67"/>
    <col collapsed="false" customWidth="true" hidden="false" outlineLevel="0" max="7" min="7" style="1" width="14.33"/>
    <col collapsed="false" customWidth="true" hidden="false" outlineLevel="0" max="8" min="8" style="1" width="13"/>
    <col collapsed="false" customWidth="true" hidden="false" outlineLevel="0" max="9" min="9" style="1" width="14.11"/>
    <col collapsed="false" customWidth="true" hidden="false" outlineLevel="0" max="10" min="10" style="1" width="6.33"/>
    <col collapsed="false" customWidth="true" hidden="false" outlineLevel="0" max="11" min="11" style="1" width="3.11"/>
    <col collapsed="false" customWidth="true" hidden="false" outlineLevel="0" max="12" min="12" style="1" width="11.33"/>
    <col collapsed="false" customWidth="false" hidden="false" outlineLevel="0" max="16384" min="13" style="1" width="8.88"/>
  </cols>
  <sheetData>
    <row r="1" s="8" customFormat="true" ht="15" hidden="false" customHeight="false" outlineLevel="0" collapsed="false">
      <c r="A1" s="2" t="s">
        <v>0</v>
      </c>
      <c r="B1" s="3"/>
      <c r="C1" s="4"/>
      <c r="D1" s="5" t="s">
        <v>1</v>
      </c>
      <c r="E1" s="5"/>
      <c r="F1" s="5"/>
      <c r="G1" s="5"/>
      <c r="H1" s="6" t="s">
        <v>2</v>
      </c>
      <c r="I1" s="3"/>
      <c r="J1" s="3"/>
      <c r="K1" s="7"/>
    </row>
    <row r="2" customFormat="false" ht="12.75" hidden="false" customHeight="false" outlineLevel="0" collapsed="false">
      <c r="A2" s="9" t="s">
        <v>3</v>
      </c>
      <c r="B2" s="10" t="s">
        <v>4</v>
      </c>
      <c r="C2" s="10"/>
      <c r="D2" s="10"/>
      <c r="E2" s="11" t="s">
        <v>5</v>
      </c>
      <c r="F2" s="12"/>
      <c r="G2" s="13" t="n">
        <v>4575000</v>
      </c>
      <c r="H2" s="14" t="s">
        <v>6</v>
      </c>
      <c r="I2" s="15" t="n">
        <f aca="false">G2+I40</f>
        <v>4575000</v>
      </c>
      <c r="J2" s="16"/>
      <c r="K2" s="17"/>
    </row>
    <row r="3" customFormat="false" ht="12.75" hidden="false" customHeight="false" outlineLevel="0" collapsed="false">
      <c r="A3" s="18" t="s">
        <v>7</v>
      </c>
      <c r="B3" s="19" t="s">
        <v>8</v>
      </c>
      <c r="C3" s="20" t="s">
        <v>9</v>
      </c>
      <c r="D3" s="21"/>
      <c r="E3" s="16" t="s">
        <v>10</v>
      </c>
      <c r="F3" s="22"/>
      <c r="G3" s="23" t="n">
        <v>12975000</v>
      </c>
      <c r="H3" s="24" t="s">
        <v>11</v>
      </c>
      <c r="I3" s="25" t="n">
        <f aca="false">G3+I40</f>
        <v>12975000</v>
      </c>
      <c r="J3" s="16"/>
      <c r="K3" s="17"/>
    </row>
    <row r="4" customFormat="false" ht="12.75" hidden="false" customHeight="false" outlineLevel="0" collapsed="false">
      <c r="A4" s="18" t="s">
        <v>12</v>
      </c>
      <c r="B4" s="26" t="s">
        <v>13</v>
      </c>
      <c r="C4" s="26"/>
      <c r="D4" s="26"/>
      <c r="E4" s="27" t="s">
        <v>14</v>
      </c>
      <c r="F4" s="12"/>
      <c r="G4" s="28" t="n">
        <v>47</v>
      </c>
      <c r="H4" s="27"/>
      <c r="I4" s="29"/>
      <c r="J4" s="22"/>
      <c r="K4" s="17"/>
    </row>
    <row r="5" customFormat="false" ht="12.75" hidden="false" customHeight="false" outlineLevel="0" collapsed="false">
      <c r="A5" s="9" t="s">
        <v>15</v>
      </c>
      <c r="B5" s="26" t="s">
        <v>16</v>
      </c>
      <c r="C5" s="26"/>
      <c r="D5" s="26"/>
      <c r="E5" s="30" t="s">
        <v>17</v>
      </c>
      <c r="F5" s="12"/>
      <c r="G5" s="31" t="n">
        <f aca="false">IF(G4=0,"",G2/G4)</f>
        <v>97340.4255319149</v>
      </c>
      <c r="H5" s="14" t="s">
        <v>18</v>
      </c>
      <c r="I5" s="32" t="n">
        <f aca="false">IF(G4=0,"",I2/G4)</f>
        <v>97340.4255319149</v>
      </c>
      <c r="J5" s="22"/>
      <c r="K5" s="17"/>
    </row>
    <row r="6" customFormat="false" ht="12.75" hidden="false" customHeight="false" outlineLevel="0" collapsed="false">
      <c r="A6" s="33"/>
      <c r="B6" s="22"/>
      <c r="C6" s="22"/>
      <c r="D6" s="22"/>
      <c r="E6" s="34" t="s">
        <v>19</v>
      </c>
      <c r="F6" s="22"/>
      <c r="G6" s="35" t="n">
        <f aca="false">IF(G4=0,"",G3/G4)</f>
        <v>276063.829787234</v>
      </c>
      <c r="H6" s="20" t="s">
        <v>20</v>
      </c>
      <c r="I6" s="36" t="n">
        <f aca="false">IF(G4=0,"",I3/G4)</f>
        <v>276063.829787234</v>
      </c>
      <c r="J6" s="22"/>
      <c r="K6" s="17"/>
    </row>
    <row r="7" s="40" customFormat="true" ht="12.75" hidden="false" customHeight="false" outlineLevel="0" collapsed="false">
      <c r="A7" s="33" t="s">
        <v>21</v>
      </c>
      <c r="B7" s="22"/>
      <c r="C7" s="22"/>
      <c r="D7" s="22"/>
      <c r="E7" s="37"/>
      <c r="F7" s="29"/>
      <c r="G7" s="38"/>
      <c r="H7" s="37"/>
      <c r="I7" s="39"/>
      <c r="J7" s="22"/>
      <c r="K7" s="17"/>
    </row>
    <row r="8" customFormat="false" ht="12.75" hidden="false" customHeight="false" outlineLevel="0" collapsed="false">
      <c r="A8" s="9" t="s">
        <v>22</v>
      </c>
      <c r="B8" s="41" t="n">
        <v>5400000</v>
      </c>
      <c r="C8" s="42" t="s">
        <v>23</v>
      </c>
      <c r="D8" s="43" t="n">
        <v>4.29</v>
      </c>
      <c r="E8" s="44" t="s">
        <v>24</v>
      </c>
      <c r="F8" s="22"/>
      <c r="G8" s="41" t="n">
        <v>29657</v>
      </c>
      <c r="H8" s="22" t="s">
        <v>25</v>
      </c>
      <c r="I8" s="45" t="s">
        <v>26</v>
      </c>
      <c r="J8" s="46"/>
      <c r="K8" s="17"/>
    </row>
    <row r="9" customFormat="false" ht="12.75" hidden="false" customHeight="false" outlineLevel="0" collapsed="false">
      <c r="A9" s="9" t="s">
        <v>27</v>
      </c>
      <c r="B9" s="41" t="n">
        <v>0</v>
      </c>
      <c r="C9" s="42" t="s">
        <v>23</v>
      </c>
      <c r="D9" s="43"/>
      <c r="E9" s="42" t="s">
        <v>24</v>
      </c>
      <c r="F9" s="22"/>
      <c r="G9" s="41" t="n">
        <v>0</v>
      </c>
      <c r="H9" s="22" t="s">
        <v>25</v>
      </c>
      <c r="I9" s="43"/>
      <c r="J9" s="22"/>
      <c r="K9" s="17"/>
    </row>
    <row r="10" s="40" customFormat="true" ht="12.75" hidden="false" customHeight="false" outlineLevel="0" collapsed="false">
      <c r="A10" s="9"/>
      <c r="B10" s="22"/>
      <c r="C10" s="22"/>
      <c r="D10" s="22"/>
      <c r="E10" s="22"/>
      <c r="F10" s="22"/>
      <c r="G10" s="22"/>
      <c r="H10" s="22"/>
      <c r="I10" s="22"/>
      <c r="J10" s="22"/>
      <c r="K10" s="17"/>
    </row>
    <row r="11" customFormat="false" ht="6.75" hidden="false" customHeight="true" outlineLevel="0" collapsed="false">
      <c r="A11" s="47"/>
      <c r="B11" s="48"/>
      <c r="C11" s="48"/>
      <c r="D11" s="48"/>
      <c r="E11" s="48"/>
      <c r="F11" s="48"/>
      <c r="G11" s="48"/>
      <c r="H11" s="48"/>
      <c r="I11" s="48"/>
      <c r="J11" s="48"/>
      <c r="K11" s="49"/>
    </row>
    <row r="12" s="40" customFormat="true" ht="12.75" hidden="false" customHeight="false" outlineLevel="0" collapsed="false">
      <c r="A12" s="33" t="s">
        <v>28</v>
      </c>
      <c r="B12" s="22"/>
      <c r="C12" s="22"/>
      <c r="D12" s="22"/>
      <c r="E12" s="22"/>
      <c r="F12" s="48"/>
      <c r="G12" s="50" t="s">
        <v>29</v>
      </c>
      <c r="H12" s="22"/>
      <c r="I12" s="22"/>
      <c r="J12" s="51" t="s">
        <v>30</v>
      </c>
      <c r="K12" s="17"/>
      <c r="L12" s="1"/>
      <c r="M12" s="1"/>
      <c r="N12" s="1"/>
      <c r="O12" s="1"/>
    </row>
    <row r="13" customFormat="false" ht="12.75" hidden="false" customHeight="false" outlineLevel="0" collapsed="false">
      <c r="A13" s="9" t="s">
        <v>31</v>
      </c>
      <c r="B13" s="52" t="n">
        <v>0</v>
      </c>
      <c r="C13" s="22"/>
      <c r="D13" s="22"/>
      <c r="E13" s="22"/>
      <c r="F13" s="48"/>
      <c r="G13" s="53" t="s">
        <v>32</v>
      </c>
      <c r="H13" s="22"/>
      <c r="I13" s="54" t="s">
        <v>33</v>
      </c>
      <c r="J13" s="55" t="s">
        <v>34</v>
      </c>
      <c r="K13" s="17"/>
      <c r="L13" s="56"/>
      <c r="M13" s="56"/>
    </row>
    <row r="14" customFormat="false" ht="12.75" hidden="false" customHeight="false" outlineLevel="0" collapsed="false">
      <c r="A14" s="57" t="s">
        <v>35</v>
      </c>
      <c r="B14" s="58" t="s">
        <v>36</v>
      </c>
      <c r="C14" s="59" t="s">
        <v>37</v>
      </c>
      <c r="D14" s="60" t="s">
        <v>38</v>
      </c>
      <c r="E14" s="61" t="s">
        <v>39</v>
      </c>
      <c r="F14" s="48"/>
      <c r="G14" s="22" t="s">
        <v>40</v>
      </c>
      <c r="H14" s="22"/>
      <c r="I14" s="62" t="n">
        <v>163485</v>
      </c>
      <c r="J14" s="63" t="n">
        <f aca="false">IF(I14=0,"",I14/$E$31)</f>
        <v>0.163628993514293</v>
      </c>
      <c r="K14" s="63"/>
    </row>
    <row r="15" customFormat="false" ht="12.75" hidden="false" customHeight="false" outlineLevel="0" collapsed="false">
      <c r="A15" s="64" t="n">
        <v>23</v>
      </c>
      <c r="B15" s="65" t="n">
        <v>1</v>
      </c>
      <c r="C15" s="65" t="n">
        <v>1</v>
      </c>
      <c r="D15" s="66" t="n">
        <v>1548</v>
      </c>
      <c r="E15" s="67" t="n">
        <f aca="false">D15*A15</f>
        <v>35604</v>
      </c>
      <c r="F15" s="48"/>
      <c r="G15" s="22" t="s">
        <v>41</v>
      </c>
      <c r="H15" s="22"/>
      <c r="I15" s="41" t="n">
        <v>21384</v>
      </c>
      <c r="J15" s="63" t="n">
        <f aca="false">IF(I15=0,"",I15/$E$31)</f>
        <v>0.021402834494355</v>
      </c>
      <c r="K15" s="63"/>
    </row>
    <row r="16" customFormat="false" ht="12.75" hidden="false" customHeight="false" outlineLevel="0" collapsed="false">
      <c r="A16" s="68" t="n">
        <v>16</v>
      </c>
      <c r="B16" s="65" t="n">
        <v>2</v>
      </c>
      <c r="C16" s="65" t="n">
        <v>1</v>
      </c>
      <c r="D16" s="66" t="n">
        <v>1996</v>
      </c>
      <c r="E16" s="67" t="n">
        <f aca="false">D16*A16</f>
        <v>31936</v>
      </c>
      <c r="F16" s="48"/>
      <c r="G16" s="22" t="s">
        <v>42</v>
      </c>
      <c r="H16" s="22"/>
      <c r="I16" s="69" t="n">
        <v>17487</v>
      </c>
      <c r="J16" s="63" t="n">
        <f aca="false">IF(I16=0,"",I16/$E$31)</f>
        <v>0.0175024021138602</v>
      </c>
      <c r="K16" s="63"/>
    </row>
    <row r="17" customFormat="false" ht="12.75" hidden="false" customHeight="false" outlineLevel="0" collapsed="false">
      <c r="A17" s="70" t="n">
        <v>0</v>
      </c>
      <c r="B17" s="65" t="n">
        <v>2</v>
      </c>
      <c r="C17" s="65" t="n">
        <v>1</v>
      </c>
      <c r="D17" s="66" t="n">
        <v>0</v>
      </c>
      <c r="E17" s="67" t="n">
        <f aca="false">D17*A17</f>
        <v>0</v>
      </c>
      <c r="F17" s="48"/>
      <c r="G17" s="22" t="s">
        <v>43</v>
      </c>
      <c r="H17" s="22"/>
      <c r="I17" s="41" t="n">
        <v>0</v>
      </c>
      <c r="J17" s="63" t="str">
        <f aca="false">IF(I17=0,"",I17/$E$31)</f>
        <v/>
      </c>
      <c r="K17" s="63"/>
    </row>
    <row r="18" customFormat="false" ht="12.75" hidden="false" customHeight="false" outlineLevel="0" collapsed="false">
      <c r="A18" s="70" t="n">
        <v>8</v>
      </c>
      <c r="B18" s="65" t="n">
        <v>2</v>
      </c>
      <c r="C18" s="65" t="n">
        <v>1.5</v>
      </c>
      <c r="D18" s="66" t="n">
        <v>1965</v>
      </c>
      <c r="E18" s="67" t="n">
        <f aca="false">D18*A18</f>
        <v>15720</v>
      </c>
      <c r="F18" s="48"/>
      <c r="G18" s="22" t="s">
        <v>44</v>
      </c>
      <c r="H18" s="22"/>
      <c r="I18" s="41" t="n">
        <v>11319</v>
      </c>
      <c r="J18" s="63" t="n">
        <f aca="false">IF(I18=0,"",I18/$E$31)</f>
        <v>0.011328969493154</v>
      </c>
      <c r="K18" s="63"/>
    </row>
    <row r="19" customFormat="false" ht="12.75" hidden="false" customHeight="false" outlineLevel="0" collapsed="false">
      <c r="A19" s="70" t="n">
        <v>0</v>
      </c>
      <c r="B19" s="65" t="n">
        <v>2</v>
      </c>
      <c r="C19" s="65" t="n">
        <v>2</v>
      </c>
      <c r="D19" s="66" t="n">
        <v>0</v>
      </c>
      <c r="E19" s="67" t="n">
        <f aca="false">D19*A19</f>
        <v>0</v>
      </c>
      <c r="F19" s="48"/>
      <c r="G19" s="20" t="s">
        <v>45</v>
      </c>
      <c r="H19" s="22"/>
      <c r="I19" s="41" t="n">
        <v>10761</v>
      </c>
      <c r="J19" s="63" t="n">
        <f aca="false">IF(I19=0,"",I19/$E$31)</f>
        <v>0.0107704780206582</v>
      </c>
      <c r="K19" s="63"/>
    </row>
    <row r="20" customFormat="false" ht="12.75" hidden="false" customHeight="false" outlineLevel="0" collapsed="false">
      <c r="A20" s="70" t="n">
        <v>0</v>
      </c>
      <c r="B20" s="65" t="n">
        <v>2</v>
      </c>
      <c r="C20" s="65" t="n">
        <v>2</v>
      </c>
      <c r="D20" s="66" t="n">
        <v>0</v>
      </c>
      <c r="E20" s="67" t="n">
        <f aca="false">D20*A20</f>
        <v>0</v>
      </c>
      <c r="F20" s="48"/>
      <c r="G20" s="22" t="s">
        <v>46</v>
      </c>
      <c r="H20" s="22"/>
      <c r="I20" s="41" t="n">
        <v>1955</v>
      </c>
      <c r="J20" s="63" t="n">
        <f aca="false">IF(I20=0,"",I20/$E$31)</f>
        <v>0.00195672191528545</v>
      </c>
      <c r="K20" s="63"/>
    </row>
    <row r="21" customFormat="false" ht="12.75" hidden="false" customHeight="false" outlineLevel="0" collapsed="false">
      <c r="A21" s="70" t="n">
        <v>0</v>
      </c>
      <c r="B21" s="65" t="n">
        <v>2</v>
      </c>
      <c r="C21" s="65" t="n">
        <v>2</v>
      </c>
      <c r="D21" s="66" t="n">
        <v>0</v>
      </c>
      <c r="E21" s="67" t="n">
        <f aca="false">D21*A21</f>
        <v>0</v>
      </c>
      <c r="F21" s="48"/>
      <c r="G21" s="22" t="s">
        <v>47</v>
      </c>
      <c r="H21" s="22"/>
      <c r="I21" s="41" t="n">
        <v>0</v>
      </c>
      <c r="J21" s="63" t="str">
        <f aca="false">IF(I21=0,"",I21/$E$31)</f>
        <v/>
      </c>
      <c r="K21" s="63"/>
    </row>
    <row r="22" customFormat="false" ht="12.75" hidden="false" customHeight="false" outlineLevel="0" collapsed="false">
      <c r="A22" s="70" t="n">
        <v>0</v>
      </c>
      <c r="B22" s="65" t="n">
        <v>2</v>
      </c>
      <c r="C22" s="65" t="n">
        <v>2</v>
      </c>
      <c r="D22" s="66" t="n">
        <v>0</v>
      </c>
      <c r="E22" s="67" t="n">
        <f aca="false">D22*A22</f>
        <v>0</v>
      </c>
      <c r="F22" s="48"/>
      <c r="G22" s="22" t="s">
        <v>48</v>
      </c>
      <c r="H22" s="22"/>
      <c r="I22" s="41" t="n">
        <v>2460</v>
      </c>
      <c r="J22" s="63" t="n">
        <f aca="false">IF(I22=0,"",I22/$E$31)</f>
        <v>0.0024621667067019</v>
      </c>
      <c r="K22" s="63"/>
    </row>
    <row r="23" customFormat="false" ht="12.75" hidden="false" customHeight="false" outlineLevel="0" collapsed="false">
      <c r="A23" s="70" t="n">
        <v>0</v>
      </c>
      <c r="B23" s="65" t="n">
        <v>3</v>
      </c>
      <c r="C23" s="65" t="n">
        <v>2</v>
      </c>
      <c r="D23" s="66" t="n">
        <v>0</v>
      </c>
      <c r="E23" s="67" t="n">
        <f aca="false">A23*D23</f>
        <v>0</v>
      </c>
      <c r="F23" s="48"/>
      <c r="G23" s="22" t="s">
        <v>49</v>
      </c>
      <c r="H23" s="22"/>
      <c r="I23" s="41" t="n">
        <v>28928</v>
      </c>
      <c r="J23" s="63" t="n">
        <f aca="false">IF(I23=0,"",I23/$E$31)</f>
        <v>0.0289534790615742</v>
      </c>
      <c r="K23" s="63"/>
    </row>
    <row r="24" customFormat="false" ht="12.75" hidden="false" customHeight="false" outlineLevel="0" collapsed="false">
      <c r="A24" s="70" t="n">
        <v>0</v>
      </c>
      <c r="B24" s="71" t="s">
        <v>50</v>
      </c>
      <c r="C24" s="65" t="n">
        <v>0</v>
      </c>
      <c r="D24" s="66" t="n">
        <v>0</v>
      </c>
      <c r="E24" s="67" t="n">
        <f aca="false">D24*A24</f>
        <v>0</v>
      </c>
      <c r="F24" s="48"/>
      <c r="G24" s="20" t="s">
        <v>51</v>
      </c>
      <c r="H24" s="22"/>
      <c r="I24" s="41" t="n">
        <v>15788</v>
      </c>
      <c r="J24" s="63" t="n">
        <f aca="false">IF(I24=0,"",I24/$E$31)</f>
        <v>0.0158019056769958</v>
      </c>
      <c r="K24" s="63"/>
    </row>
    <row r="25" customFormat="false" ht="12.75" hidden="false" customHeight="false" outlineLevel="0" collapsed="false">
      <c r="A25" s="72" t="s">
        <v>52</v>
      </c>
      <c r="B25" s="73" t="n">
        <f aca="false">SUM(A15:A24)</f>
        <v>47</v>
      </c>
      <c r="C25" s="72"/>
      <c r="D25" s="74" t="s">
        <v>53</v>
      </c>
      <c r="E25" s="67" t="n">
        <f aca="false">SUM(E15:E24)</f>
        <v>83260</v>
      </c>
      <c r="F25" s="48"/>
      <c r="G25" s="22" t="s">
        <v>54</v>
      </c>
      <c r="H25" s="22"/>
      <c r="I25" s="41" t="n">
        <v>52209</v>
      </c>
      <c r="J25" s="63" t="n">
        <f aca="false">IF(I25=0,"",I25/$E$31)</f>
        <v>0.0522549843862599</v>
      </c>
      <c r="K25" s="63"/>
    </row>
    <row r="26" customFormat="false" ht="12.75" hidden="false" customHeight="false" outlineLevel="0" collapsed="false">
      <c r="A26" s="75" t="s">
        <v>55</v>
      </c>
      <c r="B26" s="75"/>
      <c r="C26" s="75"/>
      <c r="D26" s="75"/>
      <c r="E26" s="75"/>
      <c r="F26" s="48"/>
      <c r="G26" s="22" t="s">
        <v>56</v>
      </c>
      <c r="H26" s="22"/>
      <c r="I26" s="41" t="n">
        <v>0</v>
      </c>
      <c r="J26" s="63" t="str">
        <f aca="false">IF(I26=0,"",I26/$E$31)</f>
        <v/>
      </c>
      <c r="K26" s="63"/>
    </row>
    <row r="27" customFormat="false" ht="12.75" hidden="false" customHeight="false" outlineLevel="0" collapsed="false">
      <c r="A27" s="33" t="s">
        <v>57</v>
      </c>
      <c r="B27" s="22"/>
      <c r="C27" s="22"/>
      <c r="D27" s="22"/>
      <c r="E27" s="22"/>
      <c r="F27" s="48"/>
      <c r="G27" s="22" t="s">
        <v>58</v>
      </c>
      <c r="H27" s="20"/>
      <c r="I27" s="41" t="n">
        <v>2772</v>
      </c>
      <c r="J27" s="63" t="n">
        <f aca="false">IF(I27=0,"",I27/$E$31)</f>
        <v>0.0027744415085275</v>
      </c>
      <c r="K27" s="63"/>
    </row>
    <row r="28" customFormat="false" ht="12.75" hidden="false" customHeight="false" outlineLevel="0" collapsed="false">
      <c r="A28" s="9" t="s">
        <v>59</v>
      </c>
      <c r="B28" s="22"/>
      <c r="C28" s="22"/>
      <c r="D28" s="76"/>
      <c r="E28" s="77" t="n">
        <f aca="false">E25</f>
        <v>83260</v>
      </c>
      <c r="F28" s="48"/>
      <c r="G28" s="22" t="s">
        <v>60</v>
      </c>
      <c r="H28" s="22"/>
      <c r="I28" s="41" t="n">
        <v>4894</v>
      </c>
      <c r="J28" s="63" t="n">
        <f aca="false">IF(I28=0,"",I28/$E$31)</f>
        <v>0.00489831051325166</v>
      </c>
      <c r="K28" s="63"/>
    </row>
    <row r="29" customFormat="false" ht="12.75" hidden="false" customHeight="false" outlineLevel="0" collapsed="false">
      <c r="A29" s="18" t="s">
        <v>61</v>
      </c>
      <c r="B29" s="22"/>
      <c r="C29" s="22"/>
      <c r="D29" s="76"/>
      <c r="E29" s="78" t="n">
        <f aca="false">E28*12</f>
        <v>999120</v>
      </c>
      <c r="F29" s="48"/>
      <c r="G29" s="20" t="s">
        <v>62</v>
      </c>
      <c r="H29" s="22"/>
      <c r="I29" s="41" t="n">
        <v>0</v>
      </c>
      <c r="J29" s="63" t="str">
        <f aca="false">IF(I29=0,"",I29/$E$31)</f>
        <v/>
      </c>
      <c r="K29" s="63"/>
    </row>
    <row r="30" customFormat="false" ht="12.75" hidden="false" customHeight="false" outlineLevel="0" collapsed="false">
      <c r="A30" s="9" t="s">
        <v>63</v>
      </c>
      <c r="B30" s="79"/>
      <c r="C30" s="79"/>
      <c r="D30" s="79"/>
      <c r="E30" s="80" t="n">
        <v>0</v>
      </c>
      <c r="F30" s="48"/>
      <c r="G30" s="22" t="s">
        <v>64</v>
      </c>
      <c r="H30" s="22"/>
      <c r="I30" s="41" t="n">
        <v>5260</v>
      </c>
      <c r="J30" s="63" t="n">
        <f aca="false">IF(I30=0,"",I30/$E$31)</f>
        <v>0.0052646328769317</v>
      </c>
      <c r="K30" s="63"/>
    </row>
    <row r="31" customFormat="false" ht="12.75" hidden="false" customHeight="false" outlineLevel="0" collapsed="false">
      <c r="A31" s="18" t="s">
        <v>65</v>
      </c>
      <c r="B31" s="81"/>
      <c r="C31" s="22"/>
      <c r="D31" s="82"/>
      <c r="E31" s="83" t="n">
        <f aca="false">E29+E30</f>
        <v>999120</v>
      </c>
      <c r="F31" s="48"/>
      <c r="G31" s="22" t="s">
        <v>66</v>
      </c>
      <c r="H31" s="22"/>
      <c r="I31" s="41" t="n">
        <v>0</v>
      </c>
      <c r="J31" s="63" t="str">
        <f aca="false">IF(I31=0,"",I31/$E$31)</f>
        <v/>
      </c>
      <c r="K31" s="63"/>
    </row>
    <row r="32" customFormat="false" ht="14.15" hidden="false" customHeight="false" outlineLevel="0" collapsed="false">
      <c r="A32" s="84" t="s">
        <v>67</v>
      </c>
      <c r="B32" s="85" t="n">
        <v>0.1</v>
      </c>
      <c r="C32" s="43" t="n">
        <v>0</v>
      </c>
      <c r="D32" s="86" t="n">
        <f aca="false">E31*B32</f>
        <v>99912</v>
      </c>
      <c r="E32" s="83" t="n">
        <f aca="false">E31-D32</f>
        <v>899208</v>
      </c>
      <c r="F32" s="48"/>
      <c r="G32" s="20" t="s">
        <v>68</v>
      </c>
      <c r="H32" s="22"/>
      <c r="I32" s="41" t="n">
        <v>2890</v>
      </c>
      <c r="J32" s="63" t="n">
        <f aca="false">IF(I32=0,"",I32/$E$31)</f>
        <v>0.00289254543998719</v>
      </c>
      <c r="K32" s="63"/>
    </row>
    <row r="33" customFormat="false" ht="12.75" hidden="false" customHeight="false" outlineLevel="0" collapsed="false">
      <c r="A33" s="18" t="s">
        <v>69</v>
      </c>
      <c r="B33" s="87" t="n">
        <f aca="false">I37</f>
        <v>0.347486788373769</v>
      </c>
      <c r="C33" s="22"/>
      <c r="D33" s="86" t="n">
        <f aca="false">E31*B33</f>
        <v>347181</v>
      </c>
      <c r="E33" s="83" t="n">
        <f aca="false">E32-D33</f>
        <v>552027</v>
      </c>
      <c r="F33" s="48"/>
      <c r="G33" s="20" t="s">
        <v>70</v>
      </c>
      <c r="H33" s="22"/>
      <c r="I33" s="41" t="n">
        <v>0</v>
      </c>
      <c r="J33" s="63" t="str">
        <f aca="false">IF(I33=0,"",I33/$E$31)</f>
        <v/>
      </c>
      <c r="K33" s="63"/>
    </row>
    <row r="34" customFormat="false" ht="12.75" hidden="false" customHeight="false" outlineLevel="0" collapsed="false">
      <c r="A34" s="9" t="s">
        <v>71</v>
      </c>
      <c r="B34" s="22"/>
      <c r="C34" s="22"/>
      <c r="D34" s="88"/>
      <c r="E34" s="89" t="n">
        <f aca="false">E33</f>
        <v>552027</v>
      </c>
      <c r="F34" s="48"/>
      <c r="G34" s="20" t="s">
        <v>72</v>
      </c>
      <c r="H34" s="22"/>
      <c r="I34" s="41" t="n">
        <v>2709</v>
      </c>
      <c r="J34" s="63" t="n">
        <f aca="false">IF(I34=0,"",I34/$E$31)</f>
        <v>0.00271138601969733</v>
      </c>
      <c r="K34" s="63"/>
    </row>
    <row r="35" customFormat="false" ht="12.75" hidden="false" customHeight="false" outlineLevel="0" collapsed="false">
      <c r="A35" s="9" t="s">
        <v>73</v>
      </c>
      <c r="B35" s="22"/>
      <c r="C35" s="90" t="s">
        <v>74</v>
      </c>
      <c r="D35" s="90"/>
      <c r="E35" s="91" t="n">
        <f aca="false">IF(G3=0,0,E34/G3)</f>
        <v>0.0425454335260116</v>
      </c>
      <c r="F35" s="48"/>
      <c r="G35" s="22" t="s">
        <v>72</v>
      </c>
      <c r="H35" s="22"/>
      <c r="I35" s="41" t="n">
        <v>2880</v>
      </c>
      <c r="J35" s="63" t="n">
        <f aca="false">IF(I35=0,"",I35/$E$31)</f>
        <v>0.00288253663223637</v>
      </c>
      <c r="K35" s="63"/>
    </row>
    <row r="36" customFormat="false" ht="12.75" hidden="false" customHeight="false" outlineLevel="0" collapsed="false">
      <c r="A36" s="9" t="s">
        <v>75</v>
      </c>
      <c r="B36" s="22"/>
      <c r="C36" s="90" t="s">
        <v>74</v>
      </c>
      <c r="D36" s="90"/>
      <c r="E36" s="92" t="n">
        <f aca="false">IF(G2=0,0,E34/G2)</f>
        <v>0.120661639344262</v>
      </c>
      <c r="F36" s="48"/>
      <c r="G36" s="22" t="s">
        <v>76</v>
      </c>
      <c r="H36" s="22"/>
      <c r="I36" s="93" t="n">
        <f aca="false">SUM(I14:I35)</f>
        <v>347181</v>
      </c>
      <c r="J36" s="22"/>
      <c r="K36" s="17"/>
    </row>
    <row r="37" customFormat="false" ht="12.75" hidden="false" customHeight="false" outlineLevel="0" collapsed="false">
      <c r="A37" s="9" t="s">
        <v>77</v>
      </c>
      <c r="B37" s="22"/>
      <c r="C37" s="94" t="s">
        <v>74</v>
      </c>
      <c r="D37" s="94"/>
      <c r="E37" s="95" t="n">
        <f aca="false">IF(G2=0,0,E34/(G2+I40))</f>
        <v>0.120661639344262</v>
      </c>
      <c r="F37" s="48"/>
      <c r="G37" s="20" t="s">
        <v>78</v>
      </c>
      <c r="H37" s="22"/>
      <c r="I37" s="96" t="n">
        <f aca="false">IF(E31=0,0,I36/E31)</f>
        <v>0.347486788373769</v>
      </c>
      <c r="J37" s="22"/>
      <c r="K37" s="17"/>
    </row>
    <row r="38" customFormat="false" ht="6.75" hidden="false" customHeight="true" outlineLevel="0" collapsed="false">
      <c r="A38" s="47"/>
      <c r="B38" s="48"/>
      <c r="C38" s="48"/>
      <c r="D38" s="48"/>
      <c r="E38" s="48"/>
      <c r="F38" s="48"/>
      <c r="G38" s="48"/>
      <c r="H38" s="48"/>
      <c r="I38" s="48"/>
      <c r="J38" s="48"/>
      <c r="K38" s="49"/>
    </row>
    <row r="39" s="40" customFormat="true" ht="12.75" hidden="false" customHeight="false" outlineLevel="0" collapsed="false">
      <c r="A39" s="33" t="s">
        <v>79</v>
      </c>
      <c r="B39" s="22"/>
      <c r="C39" s="22"/>
      <c r="D39" s="22"/>
      <c r="E39" s="22"/>
      <c r="F39" s="22"/>
      <c r="G39" s="22"/>
      <c r="H39" s="22"/>
      <c r="I39" s="22"/>
      <c r="J39" s="22"/>
      <c r="K39" s="17"/>
      <c r="L39" s="1"/>
      <c r="M39" s="1"/>
      <c r="N39" s="1"/>
      <c r="O39" s="1"/>
    </row>
    <row r="40" customFormat="false" ht="12.75" hidden="false" customHeight="false" outlineLevel="0" collapsed="false">
      <c r="A40" s="9" t="s">
        <v>80</v>
      </c>
      <c r="B40" s="41" t="n">
        <v>0</v>
      </c>
      <c r="C40" s="22"/>
      <c r="D40" s="22" t="s">
        <v>81</v>
      </c>
      <c r="E40" s="97" t="n">
        <f aca="false">G2*0.03</f>
        <v>137250</v>
      </c>
      <c r="F40" s="22"/>
      <c r="G40" s="98" t="s">
        <v>82</v>
      </c>
      <c r="H40" s="22"/>
      <c r="I40" s="99" t="n">
        <v>0</v>
      </c>
      <c r="J40" s="16"/>
      <c r="K40" s="17"/>
    </row>
    <row r="41" s="40" customFormat="true" ht="12.75" hidden="false" customHeight="false" outlineLevel="0" collapsed="false">
      <c r="A41" s="9"/>
      <c r="B41" s="22"/>
      <c r="C41" s="22"/>
      <c r="D41" s="22"/>
      <c r="E41" s="22"/>
      <c r="F41" s="22"/>
      <c r="G41" s="22"/>
      <c r="H41" s="22"/>
      <c r="I41" s="22"/>
      <c r="J41" s="22"/>
      <c r="K41" s="17"/>
      <c r="L41" s="1"/>
      <c r="M41" s="1"/>
      <c r="N41" s="1"/>
      <c r="O41" s="1"/>
    </row>
    <row r="42" customFormat="false" ht="12.75" hidden="false" customHeight="false" outlineLevel="0" collapsed="false">
      <c r="A42" s="9" t="s">
        <v>83</v>
      </c>
      <c r="B42" s="41" t="n">
        <v>5400000</v>
      </c>
      <c r="C42" s="42" t="s">
        <v>23</v>
      </c>
      <c r="D42" s="100" t="n">
        <v>0.0429</v>
      </c>
      <c r="E42" s="46" t="s">
        <v>84</v>
      </c>
      <c r="F42" s="22" t="n">
        <v>30</v>
      </c>
      <c r="G42" s="70" t="n">
        <v>30</v>
      </c>
      <c r="H42" s="42" t="s">
        <v>24</v>
      </c>
      <c r="I42" s="101" t="n">
        <f aca="false">PMT(D42/12,G42*12,B42)</f>
        <v>-26691.3590369583</v>
      </c>
      <c r="J42" s="22"/>
      <c r="K42" s="17"/>
      <c r="L42" s="102"/>
    </row>
    <row r="43" customFormat="false" ht="12.75" hidden="false" customHeight="false" outlineLevel="0" collapsed="false">
      <c r="A43" s="9" t="s">
        <v>85</v>
      </c>
      <c r="B43" s="41" t="n">
        <v>0</v>
      </c>
      <c r="C43" s="42" t="s">
        <v>23</v>
      </c>
      <c r="D43" s="100" t="n">
        <v>0</v>
      </c>
      <c r="E43" s="46" t="s">
        <v>84</v>
      </c>
      <c r="F43" s="22"/>
      <c r="G43" s="70" t="n">
        <v>30</v>
      </c>
      <c r="H43" s="42" t="s">
        <v>24</v>
      </c>
      <c r="I43" s="101" t="n">
        <f aca="false">PMT(D43/12,G43*12,B43)</f>
        <v>0</v>
      </c>
      <c r="J43" s="22"/>
      <c r="K43" s="17"/>
    </row>
    <row r="44" s="40" customFormat="true" ht="12.75" hidden="false" customHeight="false" outlineLevel="0" collapsed="false">
      <c r="A44" s="103" t="s">
        <v>86</v>
      </c>
      <c r="B44" s="104" t="n">
        <f aca="false">SUM(B42:B43)</f>
        <v>5400000</v>
      </c>
      <c r="C44" s="22"/>
      <c r="D44" s="22"/>
      <c r="E44" s="22"/>
      <c r="F44" s="22"/>
      <c r="G44" s="105"/>
      <c r="H44" s="22"/>
      <c r="I44" s="106" t="s">
        <v>87</v>
      </c>
      <c r="J44" s="22"/>
      <c r="K44" s="17"/>
      <c r="L44" s="107"/>
    </row>
    <row r="45" s="40" customFormat="true" ht="12.75" hidden="false" customHeight="false" outlineLevel="0" collapsed="false">
      <c r="A45" s="108"/>
      <c r="B45" s="108"/>
      <c r="C45" s="108"/>
      <c r="D45" s="108"/>
      <c r="E45" s="108"/>
      <c r="F45" s="22"/>
      <c r="G45" s="22"/>
      <c r="H45" s="22" t="s">
        <v>88</v>
      </c>
      <c r="I45" s="109" t="n">
        <f aca="false">I42+I43</f>
        <v>-26691.3590369583</v>
      </c>
      <c r="J45" s="22" t="s">
        <v>89</v>
      </c>
      <c r="K45" s="17"/>
    </row>
    <row r="46" s="40" customFormat="true" ht="12.75" hidden="false" customHeight="false" outlineLevel="0" collapsed="false">
      <c r="A46" s="108"/>
      <c r="B46" s="108"/>
      <c r="C46" s="108"/>
      <c r="D46" s="108"/>
      <c r="E46" s="22"/>
      <c r="F46" s="22"/>
      <c r="G46" s="22"/>
      <c r="H46" s="22"/>
      <c r="I46" s="22"/>
      <c r="J46" s="22"/>
      <c r="K46" s="17"/>
    </row>
    <row r="47" s="40" customFormat="true" ht="12.75" hidden="false" customHeight="false" outlineLevel="0" collapsed="false">
      <c r="A47" s="110"/>
      <c r="B47" s="110"/>
      <c r="C47" s="110"/>
      <c r="D47" s="111"/>
      <c r="E47" s="22"/>
      <c r="F47" s="22"/>
      <c r="G47" s="22" t="s">
        <v>90</v>
      </c>
      <c r="H47" s="22"/>
      <c r="I47" s="109" t="n">
        <f aca="false">I45*12</f>
        <v>-320296.308443499</v>
      </c>
      <c r="J47" s="22" t="s">
        <v>91</v>
      </c>
      <c r="K47" s="17"/>
    </row>
    <row r="48" s="40" customFormat="true" ht="12.75" hidden="false" customHeight="false" outlineLevel="0" collapsed="false">
      <c r="A48" s="18" t="s">
        <v>92</v>
      </c>
      <c r="B48" s="112" t="n">
        <f aca="false">IF(I47=0,"",E34/(-I47))</f>
        <v>1.7234884869033</v>
      </c>
      <c r="C48" s="22"/>
      <c r="D48" s="22"/>
      <c r="E48" s="22"/>
      <c r="F48" s="22"/>
      <c r="G48" s="22"/>
      <c r="H48" s="22"/>
      <c r="I48" s="22"/>
      <c r="J48" s="22"/>
      <c r="K48" s="17"/>
    </row>
    <row r="49" customFormat="false" ht="7.5" hidden="false" customHeight="true" outlineLevel="0" collapsed="false">
      <c r="A49" s="47"/>
      <c r="B49" s="48"/>
      <c r="C49" s="48"/>
      <c r="D49" s="48"/>
      <c r="E49" s="48"/>
      <c r="F49" s="48"/>
      <c r="G49" s="48"/>
      <c r="H49" s="48"/>
      <c r="I49" s="48"/>
      <c r="J49" s="48"/>
      <c r="K49" s="49"/>
    </row>
    <row r="50" customFormat="false" ht="12.75" hidden="false" customHeight="false" outlineLevel="0" collapsed="false">
      <c r="A50" s="33" t="s">
        <v>93</v>
      </c>
      <c r="B50" s="22"/>
      <c r="C50" s="22"/>
      <c r="D50" s="22"/>
      <c r="E50" s="22"/>
      <c r="F50" s="48"/>
      <c r="G50" s="113" t="s">
        <v>94</v>
      </c>
      <c r="H50" s="113"/>
      <c r="I50" s="113"/>
      <c r="J50" s="113"/>
      <c r="K50" s="113"/>
    </row>
    <row r="51" customFormat="false" ht="12.75" hidden="false" customHeight="false" outlineLevel="0" collapsed="false">
      <c r="A51" s="9" t="s">
        <v>71</v>
      </c>
      <c r="B51" s="22"/>
      <c r="C51" s="22"/>
      <c r="D51" s="93" t="n">
        <f aca="false">E34</f>
        <v>552027</v>
      </c>
      <c r="E51" s="22" t="s">
        <v>91</v>
      </c>
      <c r="F51" s="48"/>
      <c r="G51" s="114"/>
      <c r="H51" s="114"/>
      <c r="I51" s="114"/>
      <c r="J51" s="114"/>
      <c r="K51" s="114"/>
    </row>
    <row r="52" customFormat="false" ht="12.75" hidden="false" customHeight="false" outlineLevel="0" collapsed="false">
      <c r="A52" s="9" t="s">
        <v>95</v>
      </c>
      <c r="B52" s="22"/>
      <c r="C52" s="22"/>
      <c r="D52" s="115" t="n">
        <f aca="false">(-I47)</f>
        <v>320296.308443499</v>
      </c>
      <c r="E52" s="22" t="s">
        <v>91</v>
      </c>
      <c r="F52" s="48"/>
      <c r="G52" s="116"/>
      <c r="H52" s="116"/>
      <c r="I52" s="116"/>
      <c r="J52" s="116"/>
      <c r="K52" s="116"/>
    </row>
    <row r="53" customFormat="false" ht="12.75" hidden="false" customHeight="false" outlineLevel="0" collapsed="false">
      <c r="A53" s="9" t="s">
        <v>96</v>
      </c>
      <c r="B53" s="22"/>
      <c r="C53" s="22"/>
      <c r="D53" s="117" t="n">
        <f aca="false">D51-D52</f>
        <v>231730.691556501</v>
      </c>
      <c r="E53" s="22" t="s">
        <v>91</v>
      </c>
      <c r="F53" s="48"/>
      <c r="G53" s="116"/>
      <c r="H53" s="116"/>
      <c r="I53" s="116"/>
      <c r="J53" s="116"/>
      <c r="K53" s="116"/>
    </row>
    <row r="54" customFormat="false" ht="12.75" hidden="false" customHeight="false" outlineLevel="0" collapsed="false">
      <c r="A54" s="9"/>
      <c r="B54" s="22"/>
      <c r="C54" s="17"/>
      <c r="D54" s="118" t="n">
        <f aca="false">D53/12</f>
        <v>19310.8909630417</v>
      </c>
      <c r="E54" s="22" t="s">
        <v>89</v>
      </c>
      <c r="F54" s="48"/>
      <c r="G54" s="116"/>
      <c r="H54" s="116"/>
      <c r="I54" s="116"/>
      <c r="J54" s="116"/>
      <c r="K54" s="116"/>
    </row>
    <row r="55" customFormat="false" ht="12.75" hidden="false" customHeight="false" outlineLevel="0" collapsed="false">
      <c r="A55" s="110" t="s">
        <v>97</v>
      </c>
      <c r="B55" s="110"/>
      <c r="C55" s="119" t="n">
        <f aca="false">IF(E40=0,"",D53/(B40+E40+I40))</f>
        <v>1.68838390933698</v>
      </c>
      <c r="D55" s="22"/>
      <c r="E55" s="22"/>
      <c r="F55" s="48"/>
      <c r="G55" s="116"/>
      <c r="H55" s="116"/>
      <c r="I55" s="116"/>
      <c r="J55" s="116"/>
      <c r="K55" s="116"/>
    </row>
    <row r="56" customFormat="false" ht="12.75" hidden="false" customHeight="false" outlineLevel="0" collapsed="false">
      <c r="A56" s="120" t="s">
        <v>98</v>
      </c>
      <c r="B56" s="121" t="n">
        <v>0.0478</v>
      </c>
      <c r="C56" s="122"/>
      <c r="D56" s="123" t="s">
        <v>99</v>
      </c>
      <c r="E56" s="123"/>
      <c r="F56" s="48"/>
      <c r="G56" s="116"/>
      <c r="H56" s="116"/>
      <c r="I56" s="116"/>
      <c r="J56" s="116"/>
      <c r="K56" s="116"/>
    </row>
    <row r="57" customFormat="false" ht="12.75" hidden="false" customHeight="false" outlineLevel="0" collapsed="false">
      <c r="A57" s="124" t="s">
        <v>100</v>
      </c>
      <c r="B57" s="125"/>
      <c r="C57" s="125"/>
      <c r="D57" s="126" t="n">
        <f aca="false">IF(B56=0,0,E34/B56)</f>
        <v>11548682.0083682</v>
      </c>
      <c r="E57" s="127"/>
      <c r="F57" s="48"/>
      <c r="G57" s="116"/>
      <c r="H57" s="116"/>
      <c r="I57" s="116"/>
      <c r="J57" s="116"/>
      <c r="K57" s="116"/>
    </row>
    <row r="58" customFormat="false" ht="12.75" hidden="false" customHeight="false" outlineLevel="0" collapsed="false">
      <c r="A58" s="128" t="s">
        <v>101</v>
      </c>
      <c r="B58" s="129"/>
      <c r="C58" s="129"/>
      <c r="D58" s="129"/>
      <c r="E58" s="130"/>
      <c r="F58" s="48"/>
      <c r="G58" s="116"/>
      <c r="H58" s="116"/>
      <c r="I58" s="116"/>
      <c r="J58" s="116"/>
      <c r="K58" s="116"/>
    </row>
    <row r="59" customFormat="false" ht="12.75" hidden="false" customHeight="false" outlineLevel="0" collapsed="false">
      <c r="A59" s="131" t="s">
        <v>102</v>
      </c>
      <c r="B59" s="132" t="n">
        <f aca="false">IF(B56=0,"",(D59/G4))</f>
        <v>172001.646933143</v>
      </c>
      <c r="C59" s="133" t="s">
        <v>103</v>
      </c>
      <c r="D59" s="132" t="n">
        <f aca="false">IF(B56=0,"",(0.7*D57)-I40)</f>
        <v>8084077.40585774</v>
      </c>
      <c r="E59" s="134"/>
      <c r="F59" s="48"/>
      <c r="G59" s="116"/>
      <c r="H59" s="116"/>
      <c r="I59" s="116"/>
      <c r="J59" s="116"/>
      <c r="K59" s="116"/>
    </row>
    <row r="60" customFormat="false" ht="12.75" hidden="false" customHeight="false" outlineLevel="0" collapsed="false">
      <c r="A60" s="135" t="s">
        <v>104</v>
      </c>
      <c r="B60" s="136"/>
      <c r="C60" s="136"/>
      <c r="D60" s="137" t="s">
        <v>105</v>
      </c>
      <c r="E60" s="138"/>
      <c r="F60" s="48"/>
      <c r="G60" s="116"/>
      <c r="H60" s="116"/>
      <c r="I60" s="116"/>
      <c r="J60" s="116"/>
      <c r="K60" s="116"/>
    </row>
    <row r="61" customFormat="false" ht="12.75" hidden="false" customHeight="false" outlineLevel="0" collapsed="false">
      <c r="A61" s="139" t="s">
        <v>106</v>
      </c>
      <c r="B61" s="139"/>
      <c r="C61" s="139"/>
      <c r="D61" s="139"/>
      <c r="E61" s="139"/>
      <c r="F61" s="139"/>
      <c r="G61" s="139"/>
      <c r="H61" s="139"/>
      <c r="I61" s="139"/>
      <c r="J61" s="139"/>
      <c r="K61" s="140"/>
    </row>
    <row r="62" customFormat="false" ht="12.75" hidden="false" customHeight="false" outlineLevel="0" collapsed="false">
      <c r="A62" s="141" t="s">
        <v>107</v>
      </c>
    </row>
    <row r="63" customFormat="false" ht="12.75" hidden="false" customHeight="false" outlineLevel="0" collapsed="false">
      <c r="A63" s="141" t="s">
        <v>108</v>
      </c>
      <c r="B63" s="141" t="s">
        <v>109</v>
      </c>
    </row>
  </sheetData>
  <sheetProtection sheet="true" objects="true" scenarios="true"/>
  <mergeCells count="48">
    <mergeCell ref="D1:G1"/>
    <mergeCell ref="B2:D2"/>
    <mergeCell ref="B4:D4"/>
    <mergeCell ref="B5:D5"/>
    <mergeCell ref="J14:K14"/>
    <mergeCell ref="J15:K15"/>
    <mergeCell ref="J16:K16"/>
    <mergeCell ref="J17:K17"/>
    <mergeCell ref="J18:K18"/>
    <mergeCell ref="J19:K19"/>
    <mergeCell ref="J20:K20"/>
    <mergeCell ref="J21:K21"/>
    <mergeCell ref="J22:K22"/>
    <mergeCell ref="J23:K23"/>
    <mergeCell ref="J24:K24"/>
    <mergeCell ref="J25:K25"/>
    <mergeCell ref="A26:E26"/>
    <mergeCell ref="J26:K26"/>
    <mergeCell ref="J27:K27"/>
    <mergeCell ref="J28:K28"/>
    <mergeCell ref="J29:K29"/>
    <mergeCell ref="B30:D30"/>
    <mergeCell ref="J30:K30"/>
    <mergeCell ref="J31:K31"/>
    <mergeCell ref="J32:K32"/>
    <mergeCell ref="J33:K33"/>
    <mergeCell ref="J34:K34"/>
    <mergeCell ref="C35:D35"/>
    <mergeCell ref="J35:K35"/>
    <mergeCell ref="C36:D36"/>
    <mergeCell ref="C37:D37"/>
    <mergeCell ref="A45:E45"/>
    <mergeCell ref="A46:D46"/>
    <mergeCell ref="A47:C47"/>
    <mergeCell ref="G50:K50"/>
    <mergeCell ref="G51:K51"/>
    <mergeCell ref="G52:K52"/>
    <mergeCell ref="G53:K53"/>
    <mergeCell ref="G54:K54"/>
    <mergeCell ref="A55:B55"/>
    <mergeCell ref="G55:K55"/>
    <mergeCell ref="D56:E56"/>
    <mergeCell ref="G56:K56"/>
    <mergeCell ref="G57:K57"/>
    <mergeCell ref="G58:K58"/>
    <mergeCell ref="G59:K59"/>
    <mergeCell ref="G60:K60"/>
    <mergeCell ref="A61:J61"/>
  </mergeCells>
  <printOptions headings="false" gridLines="false" gridLinesSet="true" horizontalCentered="false" verticalCentered="false"/>
  <pageMargins left="0.379861111111111" right="0.470138888888889" top="0.75" bottom="0.5" header="0.511811023622047" footer="0.511811023622047"/>
  <pageSetup paperSize="1" scale="85"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LibreOffice/24.2.5.2$Windows_X86_64 LibreOffice_project/bffef4ea93e59bebbeaf7f431bb02b1a39ee8a59</Application>
  <AppVersion>15.0000</AppVersion>
  <Company>Real Estate Broker</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2009-02-03T01:36:04Z</dcterms:created>
  <dc:creator>Terri S Dobbs</dc:creator>
  <dc:description/>
  <dc:language>en-US</dc:language>
  <cp:lastModifiedBy/>
  <cp:lastPrinted>2012-03-16T16:43:37Z</cp:lastPrinted>
  <dcterms:modified xsi:type="dcterms:W3CDTF">2024-08-15T12:47:02Z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831239420</vt:i4>
  </property>
  <property fmtid="{D5CDD505-2E9C-101B-9397-08002B2CF9AE}" pid="3" name="_AuthorEmail">
    <vt:lpwstr>tsdobbs@hughes.net</vt:lpwstr>
  </property>
  <property fmtid="{D5CDD505-2E9C-101B-9397-08002B2CF9AE}" pid="4" name="_AuthorEmailDisplayName">
    <vt:lpwstr>Terri Dobbs</vt:lpwstr>
  </property>
  <property fmtid="{D5CDD505-2E9C-101B-9397-08002B2CF9AE}" pid="5" name="_EmailSubject">
    <vt:lpwstr>Blank ApartmentAnalysisForm.xls</vt:lpwstr>
  </property>
  <property fmtid="{D5CDD505-2E9C-101B-9397-08002B2CF9AE}" pid="6" name="_NewReviewCycle">
    <vt:lpwstr/>
  </property>
  <property fmtid="{D5CDD505-2E9C-101B-9397-08002B2CF9AE}" pid="7" name="_ReviewingToolsShownOnce">
    <vt:lpwstr/>
  </property>
</Properties>
</file>