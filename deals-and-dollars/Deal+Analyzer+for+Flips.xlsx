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ate1904="1" showInkAnnotation="0" autoCompressPictures="0"/>
  <mc:AlternateContent xmlns:mc="http://schemas.openxmlformats.org/markup-compatibility/2006">
    <mc:Choice Requires="x15">
      <x15ac:absPath xmlns:x15ac="http://schemas.microsoft.com/office/spreadsheetml/2010/11/ac" url="C:\Users\Amy\Documents\PCF 21\WealthFit Rebrand\Rebranded\On Drive\"/>
    </mc:Choice>
  </mc:AlternateContent>
  <bookViews>
    <workbookView xWindow="0" yWindow="0" windowWidth="14745" windowHeight="13635" tabRatio="500"/>
  </bookViews>
  <sheets>
    <sheet name="Deal Information" sheetId="16" r:id="rId1"/>
    <sheet name="Definitions" sheetId="19" r:id="rId2"/>
    <sheet name="Deal Analyzer for Flips" sheetId="14" r:id="rId3"/>
    <sheet name="Repair Estimator" sheetId="15" r:id="rId4"/>
    <sheet name="Investment Summary" sheetId="10" r:id="rId5"/>
    <sheet name="Formula Data" sheetId="17" r:id="rId6"/>
  </sheets>
  <externalReferences>
    <externalReference r:id="rId7"/>
    <externalReference r:id="rId8"/>
    <externalReference r:id="rId9"/>
    <externalReference r:id="rId10"/>
    <externalReference r:id="rId11"/>
    <externalReference r:id="rId12"/>
  </externalReferences>
  <definedNames>
    <definedName name="_ProjectsArray">'[1]Project List'!$A$6:$J$49</definedName>
    <definedName name="BuiltIn_AutoFilter___1" localSheetId="2">#REF!</definedName>
    <definedName name="BuiltIn_AutoFilter___1" localSheetId="0">#REF!</definedName>
    <definedName name="BuiltIn_AutoFilter___1" localSheetId="4">#REF!</definedName>
    <definedName name="BuiltIn_AutoFilter___1" localSheetId="3">#REF!</definedName>
    <definedName name="BuiltIn_AutoFilter___1">#REF!</definedName>
    <definedName name="BuiltIn_AutoFilter___1_1" localSheetId="2">#REF!</definedName>
    <definedName name="BuiltIn_AutoFilter___1_1" localSheetId="0">#REF!</definedName>
    <definedName name="BuiltIn_AutoFilter___1_1" localSheetId="4">#REF!</definedName>
    <definedName name="BuiltIn_AutoFilter___1_1" localSheetId="3">#REF!</definedName>
    <definedName name="BuiltIn_AutoFilter___1_1">#REF!</definedName>
    <definedName name="BuiltIn_AutoFilter___1_2" localSheetId="2">#REF!</definedName>
    <definedName name="BuiltIn_AutoFilter___1_2" localSheetId="0">#REF!</definedName>
    <definedName name="BuiltIn_AutoFilter___1_2" localSheetId="4">#REF!</definedName>
    <definedName name="BuiltIn_AutoFilter___1_2" localSheetId="3">#REF!</definedName>
    <definedName name="BuiltIn_AutoFilter___1_2">#REF!</definedName>
    <definedName name="BuiltIn_AutoFilter___1_3" localSheetId="0">#REF!</definedName>
    <definedName name="BuiltIn_AutoFilter___1_3" localSheetId="4">#REF!</definedName>
    <definedName name="BuiltIn_AutoFilter___1_3" localSheetId="3">#REF!</definedName>
    <definedName name="BuiltIn_AutoFilter___1_3">#REF!</definedName>
    <definedName name="BuiltIn_AutoFilter___1_4" localSheetId="0">#REF!</definedName>
    <definedName name="BuiltIn_AutoFilter___1_4" localSheetId="4">#REF!</definedName>
    <definedName name="BuiltIn_AutoFilter___1_4" localSheetId="3">#REF!</definedName>
    <definedName name="BuiltIn_AutoFilter___1_4">#REF!</definedName>
    <definedName name="BuiltIn_AutoFilter___1_5" localSheetId="0">#REF!</definedName>
    <definedName name="BuiltIn_AutoFilter___1_5" localSheetId="4">#REF!</definedName>
    <definedName name="BuiltIn_AutoFilter___1_5" localSheetId="3">#REF!</definedName>
    <definedName name="BuiltIn_AutoFilter___1_5">#REF!</definedName>
    <definedName name="Category">OFFSET([2]Lookup!$C$2,0,0,MIN(COUNTA([2]Lookup!$C$2:$C$100)))</definedName>
    <definedName name="Design">'[1]Project List'!$F$6:$F$49</definedName>
    <definedName name="Development">'[1]Project List'!$H$6:$H$49</definedName>
    <definedName name="Editorial">'[1]Project List'!$G$6:$G$49</definedName>
    <definedName name="Endorsement">'[1]Project List'!$E$6:$E$49</definedName>
    <definedName name="holidays">OFFSET([3]Holidays!$A$10,1,0,COUNTA([3]Holidays!$A$11:$A$4996),1)</definedName>
    <definedName name="HTML_CodePage" hidden="1">1252</definedName>
    <definedName name="HTML_Control" localSheetId="2" hidden="1">{"'Open Issues'!$A$1:$K$12","'Action Items'!$A$1:$F$30","'Risks'!$A$5:$I$10"}</definedName>
    <definedName name="HTML_Control" localSheetId="0" hidden="1">{"'Open Issues'!$A$1:$K$12","'Action Items'!$A$1:$F$30","'Risks'!$A$5:$I$10"}</definedName>
    <definedName name="HTML_Control" localSheetId="3" hidden="1">{"'Open Issues'!$A$1:$K$12","'Action Items'!$A$1:$F$30","'Risks'!$A$5:$I$10"}</definedName>
    <definedName name="HTML_Control" hidden="1">{"'Open Issues'!$A$1:$K$12","'Action Items'!$A$1:$F$30","'Risks'!$A$5:$I$10"}</definedName>
    <definedName name="HTML_Description" hidden="1">""</definedName>
    <definedName name="HTML_Email" hidden="1">"thomasmo"</definedName>
    <definedName name="HTML_Header" hidden="1">""</definedName>
    <definedName name="HTML_LastUpdate" hidden="1">"6/10/98"</definedName>
    <definedName name="HTML_LineAfter" hidden="1">FALSE</definedName>
    <definedName name="HTML_LineBefore" hidden="1">FALSE</definedName>
    <definedName name="HTML_Name" hidden="1">"Thomas Morrissey"</definedName>
    <definedName name="HTML_OBDlg2" hidden="1">TRUE</definedName>
    <definedName name="HTML_OBDlg4" hidden="1">TRUE</definedName>
    <definedName name="HTML_OS" hidden="1">0</definedName>
    <definedName name="HTML_PathFile" hidden="1">"D:\LVP1.0\Proj Mgt\LVP Action Items.htm"</definedName>
    <definedName name="HTML_Title" hidden="1">"LVP Action Items, Isues, Risks"</definedName>
    <definedName name="Launch">'[1]Project List'!$J$6:$J$49</definedName>
    <definedName name="LOB">OFFSET([2]Lookup!$D$2,0,0,MIN(COUNTA([2]Lookup!$D$2:$D$100)))</definedName>
    <definedName name="Ok" localSheetId="0">#REF!</definedName>
    <definedName name="Ok">#REF!</definedName>
    <definedName name="_xlnm.Print_Area" localSheetId="2">'Deal Analyzer for Flips'!$B$2:$J$56</definedName>
    <definedName name="_xlnm.Print_Area" localSheetId="4">'Investment Summary'!$A$1:$K$41</definedName>
    <definedName name="_xlnm.Print_Area" localSheetId="3">'Repair Estimator'!$A$1:$L$245</definedName>
    <definedName name="Priority">OFFSET([2]Lookup!$B$2,0,0,MIN(COUNTA([2]Lookup!$B$2:$B$100)))</definedName>
    <definedName name="ProcApp" localSheetId="2">#REF!</definedName>
    <definedName name="ProcApp" localSheetId="0">#REF!</definedName>
    <definedName name="ProcApp" localSheetId="4">#REF!</definedName>
    <definedName name="ProcApp" localSheetId="3">#REF!</definedName>
    <definedName name="ProcApp">#REF!</definedName>
    <definedName name="RowOffset">'[1]Project List'!$I$1</definedName>
    <definedName name="sort_range" localSheetId="2">'[4]Open Issues'!$3:$681</definedName>
    <definedName name="sort_range">'[5]Open Issues'!$3:$681</definedName>
    <definedName name="Spec">'[1]Project List'!$D$6:$D$49</definedName>
    <definedName name="Stat">'[6]Site Release Action Items List'!$E:$E</definedName>
    <definedName name="Status">OFFSET([2]Lookup!$A$2,0,0,MIN(COUNTA([2]Lookup!$A$2:$A$100)))</definedName>
    <definedName name="statuslist" localSheetId="2">#REF!</definedName>
    <definedName name="statuslist" localSheetId="0">#REF!</definedName>
    <definedName name="statuslist" localSheetId="4">#REF!</definedName>
    <definedName name="statuslist" localSheetId="3">#REF!</definedName>
    <definedName name="statuslist">#REF!</definedName>
    <definedName name="Testing">'[1]Project List'!$I$6:$I$49</definedName>
    <definedName name="valuevx">42.314159</definedName>
    <definedName name="Years">OFFSET([2]Lookup!$L$2,0,0,MIN(COUNTA([2]Lookup!$L$2:$L$20)))</definedName>
  </definedNames>
  <calcPr calcId="162913" iterate="1" concurrentCalc="0"/>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D16" i="14" l="1"/>
  <c r="D50" i="14"/>
  <c r="D51" i="14"/>
  <c r="D34" i="10"/>
  <c r="K30" i="10"/>
  <c r="J30" i="10"/>
  <c r="I30" i="10"/>
  <c r="I24" i="10"/>
  <c r="G34" i="10"/>
  <c r="I34" i="10"/>
  <c r="J34" i="10"/>
  <c r="K34" i="10"/>
  <c r="H34" i="10"/>
  <c r="E34" i="10"/>
  <c r="E30" i="10"/>
  <c r="G30" i="10"/>
  <c r="H30" i="10"/>
  <c r="K32" i="10"/>
  <c r="J32" i="10"/>
  <c r="I32" i="10"/>
  <c r="H32" i="10"/>
  <c r="G32" i="10"/>
  <c r="E32" i="10"/>
  <c r="D32" i="10"/>
  <c r="E3" i="15"/>
  <c r="L149"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4" i="15"/>
  <c r="L135" i="15"/>
  <c r="L136" i="15"/>
  <c r="L137" i="15"/>
  <c r="L138" i="15"/>
  <c r="L139" i="15"/>
  <c r="L140" i="15"/>
  <c r="L141" i="15"/>
  <c r="L142" i="15"/>
  <c r="L143" i="15"/>
  <c r="L144" i="15"/>
  <c r="L148"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E240" i="15"/>
  <c r="L235" i="15"/>
  <c r="L223" i="15"/>
  <c r="L217" i="15"/>
  <c r="L218" i="15"/>
  <c r="L219" i="15"/>
  <c r="L220" i="15"/>
  <c r="L221" i="15"/>
  <c r="L222" i="15"/>
  <c r="L224" i="15"/>
  <c r="L225" i="15"/>
  <c r="L226" i="15"/>
  <c r="L227" i="15"/>
  <c r="L233" i="15"/>
  <c r="E242"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E239" i="15"/>
  <c r="L198" i="15"/>
  <c r="L199" i="15"/>
  <c r="L200" i="15"/>
  <c r="L201" i="15"/>
  <c r="L202" i="15"/>
  <c r="L203" i="15"/>
  <c r="L204" i="15"/>
  <c r="L205" i="15"/>
  <c r="L206" i="15"/>
  <c r="L207" i="15"/>
  <c r="L208" i="15"/>
  <c r="L209" i="15"/>
  <c r="L210" i="15"/>
  <c r="L211" i="15"/>
  <c r="L212" i="15"/>
  <c r="L213" i="15"/>
  <c r="E241" i="15"/>
  <c r="G239" i="15"/>
  <c r="D15" i="14"/>
  <c r="D13" i="14"/>
  <c r="K234" i="15"/>
  <c r="K235" i="15"/>
  <c r="D30" i="10"/>
  <c r="K26" i="10"/>
  <c r="J26" i="10"/>
  <c r="I26" i="10"/>
  <c r="H26" i="10"/>
  <c r="G26" i="10"/>
  <c r="K28" i="10"/>
  <c r="J28" i="10"/>
  <c r="I28" i="10"/>
  <c r="H28" i="10"/>
  <c r="G28" i="10"/>
  <c r="E28" i="10"/>
  <c r="D28" i="10"/>
  <c r="E26" i="10"/>
  <c r="D26" i="10"/>
  <c r="K24" i="10"/>
  <c r="J24" i="10"/>
  <c r="H24" i="10"/>
  <c r="G24" i="10"/>
  <c r="E24" i="10"/>
  <c r="D24" i="10"/>
  <c r="A32" i="10"/>
  <c r="A28" i="10"/>
  <c r="A24" i="10"/>
  <c r="C25" i="14"/>
  <c r="C24" i="14"/>
  <c r="D24" i="14"/>
  <c r="D25" i="14"/>
  <c r="H24" i="14"/>
  <c r="G25" i="14"/>
  <c r="H25" i="14"/>
  <c r="H26" i="14"/>
  <c r="F28" i="14"/>
  <c r="J16" i="10"/>
  <c r="G242" i="15"/>
  <c r="G3" i="15"/>
  <c r="B3" i="15"/>
  <c r="H2" i="15"/>
  <c r="B2" i="15"/>
  <c r="H38" i="14"/>
  <c r="H37" i="14"/>
  <c r="H36" i="14"/>
  <c r="G35" i="14"/>
  <c r="G34" i="14"/>
  <c r="H33" i="14"/>
  <c r="H32" i="14"/>
  <c r="D39" i="14"/>
  <c r="C35" i="14"/>
  <c r="C36" i="14"/>
  <c r="C34" i="14"/>
  <c r="C31" i="14"/>
  <c r="C30" i="14"/>
  <c r="C29" i="14"/>
  <c r="C26" i="14"/>
  <c r="D49" i="14"/>
  <c r="D17" i="14"/>
  <c r="D26" i="14"/>
  <c r="D29" i="14"/>
  <c r="D30" i="14"/>
  <c r="D31" i="14"/>
  <c r="D34" i="14"/>
  <c r="D35" i="14"/>
  <c r="D36" i="14"/>
  <c r="B41" i="14"/>
  <c r="D52" i="14"/>
  <c r="G13" i="14"/>
  <c r="H13" i="14"/>
  <c r="H14" i="14"/>
  <c r="G15" i="14"/>
  <c r="H15" i="14"/>
  <c r="H16" i="14"/>
  <c r="H17" i="14"/>
  <c r="F19" i="14"/>
  <c r="D53" i="14"/>
  <c r="D54" i="14"/>
  <c r="H34" i="14"/>
  <c r="H35" i="14"/>
  <c r="F41" i="14"/>
  <c r="D55" i="14"/>
  <c r="B46" i="14"/>
  <c r="H49" i="14"/>
  <c r="BE2" i="14"/>
  <c r="H50" i="14"/>
  <c r="F46" i="14"/>
  <c r="C10" i="10"/>
  <c r="C9" i="10"/>
  <c r="C8" i="10"/>
  <c r="C7" i="10"/>
  <c r="I3" i="10"/>
  <c r="E3" i="10"/>
  <c r="B3" i="10"/>
  <c r="J2" i="10"/>
  <c r="C2" i="10"/>
  <c r="B19" i="14"/>
  <c r="G14" i="14"/>
  <c r="D14" i="14"/>
  <c r="K236" i="15"/>
  <c r="D16" i="10"/>
  <c r="D15" i="10"/>
  <c r="D17" i="10"/>
  <c r="D20" i="10"/>
  <c r="E16" i="10"/>
  <c r="J19" i="10"/>
  <c r="J18" i="10"/>
  <c r="J17" i="10"/>
  <c r="J15" i="10"/>
  <c r="J20" i="10"/>
  <c r="K16" i="10"/>
  <c r="K17" i="10"/>
  <c r="K18" i="10"/>
  <c r="K19" i="10"/>
  <c r="K15" i="10"/>
  <c r="E17" i="10"/>
  <c r="E15" i="10"/>
  <c r="E20" i="10"/>
  <c r="H55" i="14"/>
  <c r="H54" i="14"/>
  <c r="H52" i="14"/>
  <c r="H53" i="14"/>
  <c r="H51" i="14"/>
  <c r="D37" i="14"/>
  <c r="D32" i="14"/>
  <c r="D27" i="14"/>
  <c r="K20" i="10"/>
</calcChain>
</file>

<file path=xl/comments1.xml><?xml version="1.0" encoding="utf-8"?>
<comments xmlns="http://schemas.openxmlformats.org/spreadsheetml/2006/main">
  <authors>
    <author>Microsoft Office User</author>
    <author>Ted McCune</author>
  </authors>
  <commentList>
    <comment ref="B8" authorId="0" shapeId="0">
      <text>
        <r>
          <rPr>
            <b/>
            <sz val="10"/>
            <color indexed="81"/>
            <rFont val="Calibri"/>
          </rPr>
          <t xml:space="preserve">Insert Subject Property Address </t>
        </r>
      </text>
    </comment>
    <comment ref="G8" authorId="0" shapeId="0">
      <text>
        <r>
          <rPr>
            <b/>
            <sz val="10"/>
            <color indexed="81"/>
            <rFont val="Calibri"/>
          </rPr>
          <t xml:space="preserve">Date Analysis was completed </t>
        </r>
      </text>
    </comment>
    <comment ref="B9" authorId="0" shapeId="0">
      <text>
        <r>
          <rPr>
            <b/>
            <sz val="10"/>
            <color indexed="81"/>
            <rFont val="Calibri"/>
          </rPr>
          <t xml:space="preserve">Total Bedroom Count </t>
        </r>
      </text>
    </comment>
    <comment ref="B10" authorId="0" shapeId="0">
      <text>
        <r>
          <rPr>
            <b/>
            <sz val="10"/>
            <color indexed="81"/>
            <rFont val="Calibri"/>
          </rPr>
          <t xml:space="preserve">Total Bathroom Count </t>
        </r>
      </text>
    </comment>
    <comment ref="G10" authorId="0" shapeId="0">
      <text>
        <r>
          <rPr>
            <b/>
            <sz val="10"/>
            <color indexed="81"/>
            <rFont val="Calibri"/>
          </rPr>
          <t xml:space="preserve">Team Member that did the evaluation </t>
        </r>
      </text>
    </comment>
    <comment ref="B11" authorId="0" shapeId="0">
      <text>
        <r>
          <rPr>
            <b/>
            <sz val="10"/>
            <color indexed="81"/>
            <rFont val="Calibri"/>
          </rPr>
          <t>Total Living Sqft</t>
        </r>
      </text>
    </comment>
    <comment ref="G11" authorId="0" shapeId="0">
      <text>
        <r>
          <rPr>
            <b/>
            <sz val="10"/>
            <color indexed="81"/>
            <rFont val="Calibri"/>
          </rPr>
          <t xml:space="preserve">Date you plan to close </t>
        </r>
      </text>
    </comment>
    <comment ref="B12" authorId="0" shapeId="0">
      <text>
        <r>
          <rPr>
            <b/>
            <sz val="10"/>
            <color indexed="81"/>
            <rFont val="Calibri"/>
          </rPr>
          <t xml:space="preserve">Insert 1 for single family house 
For multi family insert total number of units </t>
        </r>
      </text>
    </comment>
    <comment ref="B15" authorId="0" shapeId="0">
      <text>
        <r>
          <rPr>
            <b/>
            <sz val="10"/>
            <color indexed="81"/>
            <rFont val="Calibri"/>
          </rPr>
          <t xml:space="preserve">Brief Discription of subject property </t>
        </r>
      </text>
    </comment>
    <comment ref="B21" authorId="1" shapeId="0">
      <text>
        <r>
          <rPr>
            <sz val="9"/>
            <color indexed="81"/>
            <rFont val="Arial"/>
            <family val="2"/>
          </rPr>
          <t xml:space="preserve">Value of the property after all repairs have been made regadless of purchase price. Also known as "Fair Market Value" </t>
        </r>
      </text>
    </comment>
    <comment ref="E21" authorId="1" shapeId="0">
      <text>
        <r>
          <rPr>
            <sz val="9"/>
            <color indexed="81"/>
            <rFont val="Arial"/>
            <family val="2"/>
          </rPr>
          <t>The 1st position loan amount borrowed to purchase the property and / or fund the rehab.</t>
        </r>
      </text>
    </comment>
    <comment ref="I21" authorId="1" shapeId="0">
      <text>
        <r>
          <rPr>
            <sz val="9"/>
            <color indexed="81"/>
            <rFont val="Arial"/>
            <family val="2"/>
          </rPr>
          <t xml:space="preserve">Insurance Policy to insure clear and marketable title. Changes based on area, type of policy, underwriter plus costs to search for title history.
</t>
        </r>
      </text>
    </comment>
    <comment ref="B22" authorId="1" shapeId="0">
      <text>
        <r>
          <rPr>
            <sz val="9"/>
            <color indexed="81"/>
            <rFont val="Arial"/>
            <family val="2"/>
          </rPr>
          <t>Value of the property in current "as is" condition. Not factoring repairs needed.</t>
        </r>
      </text>
    </comment>
    <comment ref="E22" authorId="1" shapeId="0">
      <text>
        <r>
          <rPr>
            <sz val="9"/>
            <color indexed="81"/>
            <rFont val="Arial"/>
            <family val="2"/>
          </rPr>
          <t>The 1st position points charged as a % of Mortgage Lien Amount. 1 Point = 1% in calculation.</t>
        </r>
      </text>
    </comment>
    <comment ref="I22" authorId="1" shapeId="0">
      <text>
        <r>
          <rPr>
            <sz val="9"/>
            <color indexed="81"/>
            <rFont val="Arial"/>
            <family val="2"/>
          </rPr>
          <t>Enter any miscellaneous buying transaction costs. You can enter more costs below or insert more rows If necessary.</t>
        </r>
      </text>
    </comment>
    <comment ref="B23" authorId="1" shapeId="0">
      <text>
        <r>
          <rPr>
            <sz val="9"/>
            <color indexed="81"/>
            <rFont val="Arial"/>
            <family val="2"/>
          </rPr>
          <t>The dollar amount you plan to purchase the property for.</t>
        </r>
      </text>
    </comment>
    <comment ref="E23" authorId="1" shapeId="0">
      <text>
        <r>
          <rPr>
            <sz val="9"/>
            <color indexed="81"/>
            <rFont val="Arial"/>
            <family val="2"/>
          </rPr>
          <t xml:space="preserve">The 1st position Interest rate and calculated interest amount based on the entire holding period.
</t>
        </r>
      </text>
    </comment>
    <comment ref="B24" authorId="1" shapeId="0">
      <text>
        <r>
          <rPr>
            <sz val="9"/>
            <color indexed="81"/>
            <rFont val="Arial"/>
            <family val="2"/>
          </rPr>
          <t>Estimated number of months you plan to own the property from purhase date to close of escrow sale date.</t>
        </r>
      </text>
    </comment>
    <comment ref="B25" authorId="1" shapeId="0">
      <text>
        <r>
          <rPr>
            <sz val="9"/>
            <color indexed="81"/>
            <rFont val="Arial"/>
            <family val="2"/>
          </rPr>
          <t>Use default or enter the actual annual property taxes as reported on the county tax assessors website or enter an estimate.</t>
        </r>
      </text>
    </comment>
    <comment ref="E25" authorId="1" shapeId="0">
      <text>
        <r>
          <rPr>
            <sz val="9"/>
            <color indexed="81"/>
            <rFont val="Arial"/>
            <family val="2"/>
          </rPr>
          <t>The 2nd position loan amount borrowed to purchase the property and / or fund the rehab.</t>
        </r>
      </text>
    </comment>
    <comment ref="B26" authorId="1" shapeId="0">
      <text>
        <r>
          <rPr>
            <sz val="9"/>
            <color indexed="81"/>
            <rFont val="Arial"/>
            <family val="2"/>
          </rPr>
          <t xml:space="preserve">Enter annual insurance price </t>
        </r>
      </text>
    </comment>
    <comment ref="E26" authorId="1" shapeId="0">
      <text>
        <r>
          <rPr>
            <sz val="9"/>
            <color indexed="81"/>
            <rFont val="Arial"/>
            <family val="2"/>
          </rPr>
          <t>The 2nd position points charged as a % of Mortgage Lien Amount. 1 Point = 1% in calculation.</t>
        </r>
      </text>
    </comment>
    <comment ref="I26" authorId="1" shapeId="0">
      <text>
        <r>
          <rPr>
            <sz val="9"/>
            <color indexed="81"/>
            <rFont val="Arial"/>
            <family val="2"/>
          </rPr>
          <t>Realtor Commissions as agreed in Purchase and Sale Agreement and extra fees for transaction processing.  **This will change depending on what you negotiation with your realtor.  If you are a realtor and list your own homes this percentage will change accordingly, as you will typically pay half the amount.</t>
        </r>
      </text>
    </comment>
    <comment ref="B27" authorId="1" shapeId="0">
      <text>
        <r>
          <rPr>
            <sz val="9"/>
            <color indexed="81"/>
            <rFont val="Arial"/>
            <family val="2"/>
          </rPr>
          <t>Use default or enter the Home Owner Association fees typically charged monthly here. If paid quarterly, divide the amount by 3.</t>
        </r>
      </text>
    </comment>
    <comment ref="E27" authorId="1" shapeId="0">
      <text>
        <r>
          <rPr>
            <sz val="9"/>
            <color indexed="81"/>
            <rFont val="Arial"/>
            <family val="2"/>
          </rPr>
          <t xml:space="preserve">The 2nd position Interest only monthly payment amount if required by lender. </t>
        </r>
      </text>
    </comment>
    <comment ref="I27" authorId="1" shapeId="0">
      <text>
        <r>
          <rPr>
            <sz val="9"/>
            <color indexed="81"/>
            <rFont val="Arial"/>
            <family val="2"/>
          </rPr>
          <t>For the transfer of land charged by County from seller to buyer. Typically a % of the land value based on county assessor valuation.  **It's imperative you research the correct percentage for your area as it can be vastly different.</t>
        </r>
      </text>
    </comment>
    <comment ref="B28" authorId="0" shapeId="0">
      <text>
        <r>
          <rPr>
            <b/>
            <sz val="10"/>
            <color indexed="81"/>
            <rFont val="Calibri"/>
          </rPr>
          <t xml:space="preserve">Monthly Gas Bill </t>
        </r>
      </text>
    </comment>
    <comment ref="I28" authorId="1" shapeId="0">
      <text>
        <r>
          <rPr>
            <sz val="9"/>
            <color indexed="81"/>
            <rFont val="Arial"/>
            <family val="2"/>
          </rPr>
          <t>Enter any miscellaneous buying transaction costs. You can enter more costs below or insert more rows If necessary.</t>
        </r>
      </text>
    </comment>
    <comment ref="B29" authorId="0" shapeId="0">
      <text>
        <r>
          <rPr>
            <b/>
            <sz val="10"/>
            <color indexed="81"/>
            <rFont val="Calibri"/>
          </rPr>
          <t xml:space="preserve">Monthly Water Bill </t>
        </r>
      </text>
    </comment>
    <comment ref="E29" authorId="1" shapeId="0">
      <text>
        <r>
          <rPr>
            <sz val="9"/>
            <color indexed="81"/>
            <rFont val="Arial"/>
            <family val="2"/>
          </rPr>
          <t>The Misc. position loan amount borrowed to purchase the property and / or fund the rehab.</t>
        </r>
      </text>
    </comment>
    <comment ref="B30" authorId="0" shapeId="0">
      <text>
        <r>
          <rPr>
            <b/>
            <sz val="10"/>
            <color indexed="81"/>
            <rFont val="Calibri"/>
          </rPr>
          <t>Monthly Electric Bill</t>
        </r>
      </text>
    </comment>
    <comment ref="E30" authorId="1" shapeId="0">
      <text>
        <r>
          <rPr>
            <sz val="9"/>
            <color indexed="81"/>
            <rFont val="Arial"/>
            <family val="2"/>
          </rPr>
          <t>The Misc. position points charged as a % of Mortgage Lien Amount. 1 Point = 1% in calculation.</t>
        </r>
      </text>
    </comment>
    <comment ref="I30" authorId="1" shapeId="0">
      <text>
        <r>
          <rPr>
            <sz val="9"/>
            <color indexed="81"/>
            <rFont val="Arial"/>
            <family val="2"/>
          </rPr>
          <t>Fees charged by attorney or escrow company at closing. Typically a % of sales price.</t>
        </r>
      </text>
    </comment>
    <comment ref="B31" authorId="0" shapeId="0">
      <text>
        <r>
          <rPr>
            <b/>
            <sz val="10"/>
            <color indexed="81"/>
            <rFont val="Calibri"/>
          </rPr>
          <t xml:space="preserve">If there is any other untilities </t>
        </r>
      </text>
    </comment>
    <comment ref="E31" authorId="1" shapeId="0">
      <text>
        <r>
          <rPr>
            <sz val="9"/>
            <color indexed="81"/>
            <rFont val="Arial"/>
            <family val="2"/>
          </rPr>
          <t xml:space="preserve">The Misc. position Interest only monthly payment amount if required by lender. </t>
        </r>
      </text>
    </comment>
    <comment ref="I31" authorId="1" shapeId="0">
      <text>
        <r>
          <rPr>
            <sz val="9"/>
            <color indexed="81"/>
            <rFont val="Arial"/>
            <family val="2"/>
          </rPr>
          <t>Fees taken from the HUD-1. County recording fees charged by escrow company.</t>
        </r>
      </text>
    </comment>
    <comment ref="B32" authorId="1" shapeId="0">
      <text>
        <r>
          <rPr>
            <sz val="9"/>
            <color indexed="81"/>
            <rFont val="Arial"/>
            <family val="2"/>
          </rPr>
          <t>Enter any miscellaneous holding costs. you can insert more rows If necessary.</t>
        </r>
      </text>
    </comment>
    <comment ref="E32" authorId="1" shapeId="0">
      <text>
        <r>
          <rPr>
            <sz val="9"/>
            <color indexed="81"/>
            <rFont val="Arial"/>
            <family val="2"/>
          </rPr>
          <t>Insert any miscellaneous Financing related costs here, you can also add more rows if necessary.</t>
        </r>
      </text>
    </comment>
    <comment ref="I32" authorId="1" shapeId="0">
      <text>
        <r>
          <rPr>
            <sz val="9"/>
            <color indexed="81"/>
            <rFont val="Arial"/>
            <family val="2"/>
          </rPr>
          <t>Offers protection for mechanical systems and attached appliances against unexpected repairs not covered by homeowner's insurance; overage extends over a specific time period and does not cover the home's structure.</t>
        </r>
      </text>
    </comment>
    <comment ref="I33" authorId="1" shapeId="0">
      <text>
        <r>
          <rPr>
            <sz val="9"/>
            <color indexed="81"/>
            <rFont val="Arial"/>
            <family val="2"/>
          </rPr>
          <t>Costs related to offline and online advertising, printing, and promotion to helpandvertise and promote to sell the property.</t>
        </r>
      </text>
    </comment>
    <comment ref="B40" authorId="0" shapeId="0">
      <text>
        <r>
          <rPr>
            <b/>
            <sz val="10"/>
            <color indexed="81"/>
            <rFont val="Calibri"/>
          </rPr>
          <t xml:space="preserve">FH =Single Family Home 
MFH = Multy Family Home </t>
        </r>
      </text>
    </comment>
    <comment ref="B41" authorId="0" shapeId="0">
      <text>
        <r>
          <rPr>
            <b/>
            <sz val="10"/>
            <color indexed="81"/>
            <rFont val="Calibri"/>
          </rPr>
          <t xml:space="preserve">Insert Number of Bedrooms </t>
        </r>
      </text>
    </comment>
    <comment ref="B42" authorId="0" shapeId="0">
      <text>
        <r>
          <rPr>
            <b/>
            <sz val="10"/>
            <color indexed="81"/>
            <rFont val="Calibri"/>
          </rPr>
          <t xml:space="preserve">Insert Number of Bathrooms </t>
        </r>
      </text>
    </comment>
    <comment ref="B43" authorId="0" shapeId="0">
      <text>
        <r>
          <rPr>
            <b/>
            <sz val="10"/>
            <color indexed="81"/>
            <rFont val="Calibri"/>
          </rPr>
          <t xml:space="preserve">Total SQFT of property </t>
        </r>
      </text>
    </comment>
    <comment ref="B44" authorId="0" shapeId="0">
      <text>
        <r>
          <rPr>
            <b/>
            <sz val="10"/>
            <color indexed="81"/>
            <rFont val="Calibri"/>
          </rPr>
          <t xml:space="preserve">Insert Lot size of property </t>
        </r>
      </text>
    </comment>
    <comment ref="B45" authorId="0" shapeId="0">
      <text>
        <r>
          <rPr>
            <b/>
            <sz val="10"/>
            <color indexed="81"/>
            <rFont val="Calibri"/>
          </rPr>
          <t xml:space="preserve">Year Property was Built </t>
        </r>
      </text>
    </comment>
    <comment ref="B46" authorId="0" shapeId="0">
      <text>
        <r>
          <rPr>
            <b/>
            <sz val="10"/>
            <color indexed="81"/>
            <rFont val="Calibri"/>
          </rPr>
          <t xml:space="preserve">Distance from Subject Property </t>
        </r>
      </text>
    </comment>
    <comment ref="B47" authorId="0" shapeId="0">
      <text>
        <r>
          <rPr>
            <b/>
            <sz val="10"/>
            <color indexed="81"/>
            <rFont val="Calibri"/>
          </rPr>
          <t xml:space="preserve">Garage, Off street, Covered, Number of Spaces </t>
        </r>
      </text>
    </comment>
    <comment ref="B48" authorId="0" shapeId="0">
      <text>
        <r>
          <rPr>
            <b/>
            <sz val="10"/>
            <color indexed="81"/>
            <rFont val="Calibri"/>
          </rPr>
          <t xml:space="preserve">Date Comp was listed </t>
        </r>
      </text>
    </comment>
    <comment ref="B49" authorId="0" shapeId="0">
      <text>
        <r>
          <rPr>
            <b/>
            <sz val="10"/>
            <color indexed="81"/>
            <rFont val="Calibri"/>
          </rPr>
          <t xml:space="preserve">Current List Price </t>
        </r>
      </text>
    </comment>
    <comment ref="B50" authorId="0" shapeId="0">
      <text>
        <r>
          <rPr>
            <b/>
            <sz val="10"/>
            <color indexed="81"/>
            <rFont val="Calibri"/>
          </rPr>
          <t xml:space="preserve">Date Comp Sold </t>
        </r>
      </text>
    </comment>
    <comment ref="B51" authorId="0" shapeId="0">
      <text>
        <r>
          <rPr>
            <b/>
            <sz val="10"/>
            <color indexed="81"/>
            <rFont val="Calibri"/>
          </rPr>
          <t xml:space="preserve">Sold Price </t>
        </r>
      </text>
    </comment>
    <comment ref="B52" authorId="0" shapeId="0">
      <text>
        <r>
          <rPr>
            <b/>
            <sz val="10"/>
            <color indexed="81"/>
            <rFont val="Calibri"/>
          </rPr>
          <t xml:space="preserve">Price per Sqft that the property is listed at or sold at. </t>
        </r>
      </text>
    </comment>
    <comment ref="B53" authorId="0" shapeId="0">
      <text>
        <r>
          <rPr>
            <b/>
            <sz val="10"/>
            <color indexed="81"/>
            <rFont val="Calibri"/>
          </rPr>
          <t xml:space="preserve">Days on Market </t>
        </r>
      </text>
    </comment>
  </commentList>
</comments>
</file>

<file path=xl/comments2.xml><?xml version="1.0" encoding="utf-8"?>
<comments xmlns="http://schemas.openxmlformats.org/spreadsheetml/2006/main">
  <authors>
    <author>Ted McCune</author>
  </authors>
  <commentList>
    <comment ref="B13" authorId="0" shapeId="0">
      <text>
        <r>
          <rPr>
            <sz val="9"/>
            <color indexed="81"/>
            <rFont val="Arial"/>
            <family val="2"/>
          </rPr>
          <t xml:space="preserve">Value of the property after all repairs have been made regadless of purchase price. Also known as "Fair Market Value" </t>
        </r>
      </text>
    </comment>
    <comment ref="F13" authorId="0" shapeId="0">
      <text>
        <r>
          <rPr>
            <sz val="9"/>
            <color indexed="81"/>
            <rFont val="Arial"/>
            <family val="2"/>
          </rPr>
          <t>Use default or enter the actual annual property taxes as reported on the county tax assessors website or enter an estimate.</t>
        </r>
      </text>
    </comment>
    <comment ref="B14" authorId="0" shapeId="0">
      <text>
        <r>
          <rPr>
            <sz val="9"/>
            <color indexed="81"/>
            <rFont val="Arial"/>
            <family val="2"/>
          </rPr>
          <t>Value of the property in current "as is" condition. Not factoring repairs needed.</t>
        </r>
      </text>
    </comment>
    <comment ref="F14" authorId="0" shapeId="0">
      <text>
        <r>
          <rPr>
            <sz val="9"/>
            <color indexed="81"/>
            <rFont val="Arial"/>
            <family val="2"/>
          </rPr>
          <t>Use default or enter the Home Owner Association fees typically charged monthly here. If paid quarterly, divide the amount by 3.</t>
        </r>
      </text>
    </comment>
    <comment ref="B15" authorId="0" shapeId="0">
      <text>
        <r>
          <rPr>
            <sz val="9"/>
            <color indexed="81"/>
            <rFont val="Arial"/>
            <family val="2"/>
          </rPr>
          <t>The dollar amount of estimated repairs based on your analysis, or select "Load from Hammerpoint Estimate"</t>
        </r>
      </text>
    </comment>
    <comment ref="F15" authorId="0" shapeId="0">
      <text>
        <r>
          <rPr>
            <sz val="9"/>
            <color indexed="81"/>
            <rFont val="Arial"/>
            <family val="2"/>
          </rPr>
          <t>Vacant or Occupied insurance premium charged during term of holding period and then converted to annual amount and divided by 12 to show monthly amount</t>
        </r>
      </text>
    </comment>
    <comment ref="H15" authorId="0" shapeId="0">
      <text>
        <r>
          <rPr>
            <b/>
            <u/>
            <sz val="9"/>
            <color indexed="81"/>
            <rFont val="Arial"/>
            <family val="2"/>
          </rPr>
          <t>Insurance Costs Formula:</t>
        </r>
        <r>
          <rPr>
            <b/>
            <sz val="9"/>
            <color indexed="81"/>
            <rFont val="Arial"/>
            <family val="2"/>
          </rPr>
          <t xml:space="preserve">
</t>
        </r>
        <r>
          <rPr>
            <sz val="9"/>
            <color indexed="10"/>
            <rFont val="Arial"/>
            <family val="2"/>
          </rPr>
          <t>Occupied = $.77/$1,000 + $500 Vacant = $6/$1,000 + $500</t>
        </r>
      </text>
    </comment>
    <comment ref="B16" authorId="0" shapeId="0">
      <text>
        <r>
          <rPr>
            <sz val="9"/>
            <color indexed="81"/>
            <rFont val="Arial"/>
            <family val="2"/>
          </rPr>
          <t>The dollar amount you plan to purchase the property for.</t>
        </r>
      </text>
    </comment>
    <comment ref="F16" authorId="0" shapeId="0">
      <text>
        <r>
          <rPr>
            <sz val="9"/>
            <color indexed="81"/>
            <rFont val="Arial"/>
            <family val="2"/>
          </rPr>
          <t>Combined value for gas, electricity, water, and miscellaneous utilities. Click on Down arrow to right to change  or add more utility line items.</t>
        </r>
      </text>
    </comment>
    <comment ref="H16" authorId="0" shapeId="0">
      <text>
        <r>
          <rPr>
            <b/>
            <u/>
            <sz val="9"/>
            <color indexed="81"/>
            <rFont val="Arial"/>
            <family val="2"/>
          </rPr>
          <t>Utility Costs Formula:</t>
        </r>
        <r>
          <rPr>
            <sz val="9"/>
            <color indexed="81"/>
            <rFont val="Arial"/>
            <family val="2"/>
          </rPr>
          <t xml:space="preserve">
</t>
        </r>
        <r>
          <rPr>
            <sz val="9"/>
            <color indexed="10"/>
            <rFont val="Arial"/>
            <family val="2"/>
          </rPr>
          <t>¹¹Utility Costs - are estimated at $200/month however click + sign on far left (Expandable to enter Gas, Water, Electricity, Miscellaenous).</t>
        </r>
      </text>
    </comment>
    <comment ref="B17" authorId="0" shapeId="0">
      <text>
        <r>
          <rPr>
            <sz val="9"/>
            <color indexed="81"/>
            <rFont val="Arial"/>
            <family val="2"/>
          </rPr>
          <t>Estimated number of months you plan to own the property from purhase date to close of escrow sale date.</t>
        </r>
      </text>
    </comment>
    <comment ref="F17" authorId="0" shapeId="0">
      <text>
        <r>
          <rPr>
            <sz val="9"/>
            <color indexed="81"/>
            <rFont val="Arial"/>
            <family val="2"/>
          </rPr>
          <t>Enter any miscellaneous holding costs. you can insert more rows If necessary.</t>
        </r>
      </text>
    </comment>
    <comment ref="B24" authorId="0" shapeId="0">
      <text>
        <r>
          <rPr>
            <sz val="9"/>
            <color indexed="81"/>
            <rFont val="Arial"/>
            <family val="2"/>
          </rPr>
          <t>The 1st position loan amount borrowed to purchase the property and / or fund the rehab.</t>
        </r>
      </text>
    </comment>
    <comment ref="F24" authorId="0" shapeId="0">
      <text>
        <r>
          <rPr>
            <sz val="9"/>
            <color indexed="81"/>
            <rFont val="Arial"/>
            <family val="2"/>
          </rPr>
          <t>Fees charged by attorney or escrow company at closing. Typically a % of sales price.</t>
        </r>
      </text>
    </comment>
    <comment ref="H24" authorId="0" shapeId="0">
      <text>
        <r>
          <rPr>
            <b/>
            <u/>
            <sz val="9"/>
            <color indexed="81"/>
            <rFont val="Arial"/>
            <family val="2"/>
          </rPr>
          <t>Escrow &amp; Attorney Fees Formula:</t>
        </r>
        <r>
          <rPr>
            <sz val="9"/>
            <color indexed="81"/>
            <rFont val="Arial"/>
            <family val="2"/>
          </rPr>
          <t xml:space="preserve">
</t>
        </r>
        <r>
          <rPr>
            <sz val="9"/>
            <color indexed="10"/>
            <rFont val="Arial"/>
            <family val="2"/>
          </rPr>
          <t>Attorney Fees - includes title insurance carry-over. 
For Attorney States use flat amount charged. For Escrow States, convert charges to a flat amount and enter them here.</t>
        </r>
      </text>
    </comment>
    <comment ref="B25" authorId="0" shapeId="0">
      <text>
        <r>
          <rPr>
            <sz val="9"/>
            <color indexed="81"/>
            <rFont val="Arial"/>
            <family val="2"/>
          </rPr>
          <t>The 1st position points charged as a % of Mortgage Lien Amount. 1 Point = 1% in calculation.</t>
        </r>
      </text>
    </comment>
    <comment ref="F25" authorId="0" shapeId="0">
      <text>
        <r>
          <rPr>
            <sz val="9"/>
            <color indexed="81"/>
            <rFont val="Arial"/>
            <family val="2"/>
          </rPr>
          <t xml:space="preserve">Insurance Policy to insure clear and marketable title. Changes based on area, type of policy, underwriter plus costs to search for title history.
</t>
        </r>
      </text>
    </comment>
    <comment ref="H25" authorId="0" shapeId="0">
      <text>
        <r>
          <rPr>
            <b/>
            <u/>
            <sz val="9"/>
            <color indexed="81"/>
            <rFont val="Arial"/>
            <family val="2"/>
          </rPr>
          <t>Title Insuranance/ Search Formula:</t>
        </r>
        <r>
          <rPr>
            <sz val="9"/>
            <color indexed="81"/>
            <rFont val="Arial"/>
            <family val="2"/>
          </rPr>
          <t xml:space="preserve"> 
</t>
        </r>
        <r>
          <rPr>
            <sz val="9"/>
            <color indexed="10"/>
            <rFont val="Arial"/>
            <family val="2"/>
          </rPr>
          <t>$500 plus 1/4% of purchase price. Or adjust % and flat amount in formula based on your location differences</t>
        </r>
      </text>
    </comment>
    <comment ref="B26" authorId="0" shapeId="0">
      <text>
        <r>
          <rPr>
            <sz val="9"/>
            <color indexed="81"/>
            <rFont val="Arial"/>
            <family val="2"/>
          </rPr>
          <t xml:space="preserve">The 1st position Interest rate and calculated interest amount based on the entire holding period.
</t>
        </r>
      </text>
    </comment>
    <comment ref="F26" authorId="0" shapeId="0">
      <text>
        <r>
          <rPr>
            <sz val="9"/>
            <color indexed="81"/>
            <rFont val="Arial"/>
            <family val="2"/>
          </rPr>
          <t>Enter any miscellaneous buying transaction costs. You can enter more costs below or insert more rows If necessary.</t>
        </r>
      </text>
    </comment>
    <comment ref="B27" authorId="0" shapeId="0">
      <text>
        <r>
          <rPr>
            <sz val="9"/>
            <color indexed="81"/>
            <rFont val="Arial"/>
            <family val="2"/>
          </rPr>
          <t xml:space="preserve">The 1st position Interest only monthly payment amount if required by lender. 
</t>
        </r>
      </text>
    </comment>
    <comment ref="B29" authorId="0" shapeId="0">
      <text>
        <r>
          <rPr>
            <sz val="9"/>
            <color indexed="81"/>
            <rFont val="Arial"/>
            <family val="2"/>
          </rPr>
          <t>The 2nd position loan amount borrowed to purchase the property and / or fund the rehab.</t>
        </r>
      </text>
    </comment>
    <comment ref="B30" authorId="0" shapeId="0">
      <text>
        <r>
          <rPr>
            <sz val="9"/>
            <color indexed="81"/>
            <rFont val="Arial"/>
            <family val="2"/>
          </rPr>
          <t>The 2nd position points charged as a % of Mortgage Lien Amount. 1 Point = 1% in calculation.</t>
        </r>
      </text>
    </comment>
    <comment ref="B31" authorId="0" shapeId="0">
      <text>
        <r>
          <rPr>
            <sz val="9"/>
            <color indexed="81"/>
            <rFont val="Arial"/>
            <family val="2"/>
          </rPr>
          <t xml:space="preserve">The 2nd position Interest only monthly payment amount if required by lender. </t>
        </r>
      </text>
    </comment>
    <comment ref="B32" authorId="0" shapeId="0">
      <text>
        <r>
          <rPr>
            <sz val="9"/>
            <color indexed="81"/>
            <rFont val="Arial"/>
            <family val="2"/>
          </rPr>
          <t xml:space="preserve">The 2nd position Interest only monthly payment amount if required by lender. </t>
        </r>
      </text>
    </comment>
    <comment ref="F32" authorId="0" shapeId="0">
      <text>
        <r>
          <rPr>
            <sz val="9"/>
            <color indexed="81"/>
            <rFont val="Arial"/>
            <family val="2"/>
          </rPr>
          <t>Fees charged by attorney or escrow company at closing. Typically a % of sales price.</t>
        </r>
      </text>
    </comment>
    <comment ref="H32" authorId="0" shapeId="0">
      <text>
        <r>
          <rPr>
            <b/>
            <u/>
            <sz val="9"/>
            <color indexed="81"/>
            <rFont val="Arial"/>
            <family val="2"/>
          </rPr>
          <t>Escrow &amp; Attorney Fees:</t>
        </r>
        <r>
          <rPr>
            <sz val="9"/>
            <color indexed="81"/>
            <rFont val="Arial"/>
            <family val="2"/>
          </rPr>
          <t xml:space="preserve">
</t>
        </r>
        <r>
          <rPr>
            <sz val="9"/>
            <color indexed="10"/>
            <rFont val="Arial"/>
            <family val="2"/>
          </rPr>
          <t>Attorney Fees - includes title insurance carry-over. 
For Attorney States use flat amount charged. For Escrow States, convert charges to a flat amount and enter them here.</t>
        </r>
      </text>
    </comment>
    <comment ref="F33" authorId="0" shapeId="0">
      <text>
        <r>
          <rPr>
            <sz val="9"/>
            <color indexed="81"/>
            <rFont val="Arial"/>
            <family val="2"/>
          </rPr>
          <t>Fees taken from the HUD-1. County recording fees charged by escrow company.</t>
        </r>
      </text>
    </comment>
    <comment ref="H33" authorId="0" shapeId="0">
      <text>
        <r>
          <rPr>
            <b/>
            <u/>
            <sz val="9"/>
            <color indexed="81"/>
            <rFont val="Arial"/>
            <family val="2"/>
          </rPr>
          <t>Selling Recording Fees:</t>
        </r>
        <r>
          <rPr>
            <b/>
            <sz val="9"/>
            <color indexed="81"/>
            <rFont val="Arial"/>
            <family val="2"/>
          </rPr>
          <t xml:space="preserve">
</t>
        </r>
        <r>
          <rPr>
            <sz val="9"/>
            <color indexed="10"/>
            <rFont val="Arial"/>
            <family val="2"/>
          </rPr>
          <t>Flat fee charged on HUD based on your area/county/city.</t>
        </r>
        <r>
          <rPr>
            <sz val="9"/>
            <color indexed="81"/>
            <rFont val="Arial"/>
            <family val="2"/>
          </rPr>
          <t xml:space="preserve">
 </t>
        </r>
      </text>
    </comment>
    <comment ref="B34" authorId="0" shapeId="0">
      <text>
        <r>
          <rPr>
            <sz val="9"/>
            <color indexed="81"/>
            <rFont val="Arial"/>
            <family val="2"/>
          </rPr>
          <t>The Misc. position loan amount borrowed to purchase the property and / or fund the rehab.</t>
        </r>
      </text>
    </comment>
    <comment ref="F34" authorId="0" shapeId="0">
      <text>
        <r>
          <rPr>
            <sz val="9"/>
            <color indexed="81"/>
            <rFont val="Arial"/>
            <family val="2"/>
          </rPr>
          <t>Realtor Commissions as agreed in Purchase and Sale Agreement and extra fees for transaction processing.  **This will change depending on what you negotiation with your realtor.  If you are a realtor and list your own homes this percentage will change accordingly, as you will typically pay half the amount.</t>
        </r>
      </text>
    </comment>
    <comment ref="G34" authorId="0" shapeId="0">
      <text>
        <r>
          <rPr>
            <sz val="9"/>
            <color indexed="81"/>
            <rFont val="Arial"/>
            <family val="2"/>
          </rPr>
          <t>Insert the % of realtor commission you will have to pay at closing. Typically 2.5-3% for buyers agent. If you have a listing agent, you will want to add 2.5-3% or whatever you negotiate as well.</t>
        </r>
      </text>
    </comment>
    <comment ref="B35" authorId="0" shapeId="0">
      <text>
        <r>
          <rPr>
            <sz val="9"/>
            <color indexed="81"/>
            <rFont val="Arial"/>
            <family val="2"/>
          </rPr>
          <t>The Misc. position points charged as a % of Mortgage Lien Amount. 1 Point = 1% in calculation.</t>
        </r>
      </text>
    </comment>
    <comment ref="F35" authorId="0" shapeId="0">
      <text>
        <r>
          <rPr>
            <sz val="9"/>
            <color indexed="81"/>
            <rFont val="Arial"/>
            <family val="2"/>
          </rPr>
          <t>For the transfer of land charged by County from seller to buyer. Typically a % of the land value based on county assessor valuation.  **It's imperative you research the correct percentage for your area as it can be vastly different.</t>
        </r>
      </text>
    </comment>
    <comment ref="G35" authorId="0" shapeId="0">
      <text>
        <r>
          <rPr>
            <b/>
            <u/>
            <sz val="9"/>
            <color indexed="81"/>
            <rFont val="Tahoma"/>
            <family val="2"/>
          </rPr>
          <t>Formula:</t>
        </r>
        <r>
          <rPr>
            <b/>
            <sz val="9"/>
            <color indexed="81"/>
            <rFont val="Tahoma"/>
            <family val="2"/>
          </rPr>
          <t xml:space="preserve">
</t>
        </r>
        <r>
          <rPr>
            <sz val="9"/>
            <color indexed="10"/>
            <rFont val="Tahoma"/>
            <family val="2"/>
          </rPr>
          <t>Make sure you enter the correct % based on your area. This is different based on location!</t>
        </r>
      </text>
    </comment>
    <comment ref="B36" authorId="0" shapeId="0">
      <text>
        <r>
          <rPr>
            <sz val="9"/>
            <color indexed="81"/>
            <rFont val="Arial"/>
            <family val="2"/>
          </rPr>
          <t xml:space="preserve">The Misc. position Interest only monthly payment amount if required by lender. </t>
        </r>
      </text>
    </comment>
    <comment ref="F36" authorId="0" shapeId="0">
      <text>
        <r>
          <rPr>
            <sz val="9"/>
            <color indexed="81"/>
            <rFont val="Arial"/>
            <family val="2"/>
          </rPr>
          <t>Offers protection for mechanical systems and attached appliances against unexpected repairs not covered by homeowner's insurance; overage extends over a specific time period and does not cover the home's structure.</t>
        </r>
      </text>
    </comment>
    <comment ref="B37" authorId="0" shapeId="0">
      <text>
        <r>
          <rPr>
            <sz val="9"/>
            <color indexed="81"/>
            <rFont val="Arial"/>
            <family val="2"/>
          </rPr>
          <t>The Misc. position Interest only monthly payment amount if required by lender.</t>
        </r>
      </text>
    </comment>
    <comment ref="F37" authorId="0" shapeId="0">
      <text>
        <r>
          <rPr>
            <sz val="9"/>
            <color indexed="81"/>
            <rFont val="Arial"/>
            <family val="2"/>
          </rPr>
          <t>Cost for getting property ready to sell by bringing in furnishings and furniture so the property will show better and have greater chance to sell quickly.</t>
        </r>
      </text>
    </comment>
    <comment ref="F38" authorId="0" shapeId="0">
      <text>
        <r>
          <rPr>
            <sz val="9"/>
            <color indexed="81"/>
            <rFont val="Arial"/>
            <family val="2"/>
          </rPr>
          <t>Costs related to offline and online advertising, printing, and promotion to helpandvertise and promote to sell the property.</t>
        </r>
      </text>
    </comment>
    <comment ref="B39" authorId="0" shapeId="0">
      <text>
        <r>
          <rPr>
            <sz val="9"/>
            <color indexed="81"/>
            <rFont val="Arial"/>
            <family val="2"/>
          </rPr>
          <t>Insert any miscellaneous Financing related costs here, you can also add more rows if necessary.</t>
        </r>
      </text>
    </comment>
    <comment ref="F39" authorId="0" shapeId="0">
      <text>
        <r>
          <rPr>
            <sz val="9"/>
            <color indexed="81"/>
            <rFont val="Arial"/>
            <family val="2"/>
          </rPr>
          <t>Enter any miscellaneous buying transaction costs. You can enter more costs below or insert more rows If necessary.</t>
        </r>
      </text>
    </comment>
    <comment ref="B49" authorId="0" shapeId="0">
      <text>
        <r>
          <rPr>
            <sz val="9"/>
            <color indexed="81"/>
            <rFont val="Arial"/>
            <family val="2"/>
          </rPr>
          <t>Value of the property after all repairs have been made regadless of purchase price. Also known as "Fair Market Value".</t>
        </r>
      </text>
    </comment>
    <comment ref="F49" authorId="0" shapeId="0">
      <text>
        <r>
          <rPr>
            <sz val="9"/>
            <color indexed="81"/>
            <rFont val="Arial"/>
            <family val="2"/>
          </rPr>
          <t xml:space="preserve">Calculations and estimate is based on date which is the last day of holding period. </t>
        </r>
      </text>
    </comment>
    <comment ref="B50" authorId="0" shapeId="0">
      <text>
        <r>
          <rPr>
            <sz val="9"/>
            <color indexed="81"/>
            <rFont val="Arial"/>
            <family val="2"/>
          </rPr>
          <t>The dollar amount you plan to purchase the property for. Also called the "contract price".</t>
        </r>
      </text>
    </comment>
    <comment ref="F50" authorId="0" shapeId="0">
      <text>
        <r>
          <rPr>
            <sz val="9"/>
            <color indexed="81"/>
            <rFont val="Arial"/>
            <family val="2"/>
          </rPr>
          <t>Total Purchase+Rehab Estimate costs divided by total square feet of the property used as a measurement market indicator.</t>
        </r>
      </text>
    </comment>
    <comment ref="B51" authorId="0" shapeId="0">
      <text>
        <r>
          <rPr>
            <sz val="9"/>
            <color indexed="81"/>
            <rFont val="Arial"/>
            <family val="2"/>
          </rPr>
          <t xml:space="preserve">The dollar amount of estimated repairs based on your analysis and assessment. </t>
        </r>
      </text>
    </comment>
    <comment ref="F51" authorId="0" shapeId="0">
      <text>
        <r>
          <rPr>
            <sz val="9"/>
            <color indexed="81"/>
            <rFont val="Arial"/>
            <family val="2"/>
          </rPr>
          <t xml:space="preserve">The funds you as the purchaser need to bring to the table at Closing when purchasing the property. Takes Difference of all Buying costs less amount borrowed. </t>
        </r>
      </text>
    </comment>
    <comment ref="B52" authorId="0" shapeId="0">
      <text>
        <r>
          <rPr>
            <sz val="9"/>
            <color indexed="81"/>
            <rFont val="Arial"/>
            <family val="2"/>
          </rPr>
          <t>Total Borrowing Costs of first, second, and miscellaneous rehab financing fees, points, and interest charged over duration of holding period.</t>
        </r>
      </text>
    </comment>
    <comment ref="F52" authorId="0" shapeId="0">
      <text>
        <r>
          <rPr>
            <sz val="9"/>
            <color indexed="81"/>
            <rFont val="Arial"/>
            <family val="2"/>
          </rPr>
          <t>Amount of your own money out of pocket that you put in the deal as the purchaser between purchase and sales date.</t>
        </r>
      </text>
    </comment>
    <comment ref="B53" authorId="0" shapeId="0">
      <text>
        <r>
          <rPr>
            <sz val="9"/>
            <color indexed="81"/>
            <rFont val="Arial"/>
            <family val="2"/>
          </rPr>
          <t>Total Costs for all monthly carrying expenses based on the duration of how long property is held between purchase and sales date.</t>
        </r>
      </text>
    </comment>
    <comment ref="F53" authorId="0" shapeId="0">
      <text>
        <r>
          <rPr>
            <sz val="9"/>
            <color indexed="81"/>
            <rFont val="Arial"/>
            <family val="2"/>
          </rPr>
          <t>% of interest estimated that you would earn over a year period based on your out of pocket funds that you put into the deal as a purchaser.</t>
        </r>
      </text>
    </comment>
    <comment ref="B54" authorId="0" shapeId="0">
      <text>
        <r>
          <rPr>
            <sz val="9"/>
            <color indexed="81"/>
            <rFont val="Arial"/>
            <family val="2"/>
          </rPr>
          <t>Total transactional costs related to the buying phase of the transaction.</t>
        </r>
      </text>
    </comment>
    <comment ref="F54" authorId="0" shapeId="0">
      <text>
        <r>
          <rPr>
            <sz val="9"/>
            <color indexed="81"/>
            <rFont val="Arial"/>
            <family val="2"/>
          </rPr>
          <t xml:space="preserve">% of interest earned based on purchase price + all other costs over a 12 month annualized period.
</t>
        </r>
      </text>
    </comment>
    <comment ref="B55" authorId="0" shapeId="0">
      <text>
        <r>
          <rPr>
            <sz val="9"/>
            <color indexed="81"/>
            <rFont val="Arial"/>
            <family val="2"/>
          </rPr>
          <t xml:space="preserve">Total transactional costs related to the selling phase of the transaction.
</t>
        </r>
      </text>
    </comment>
    <comment ref="F55" authorId="0" shapeId="0">
      <text>
        <r>
          <rPr>
            <sz val="9"/>
            <color indexed="81"/>
            <rFont val="Arial"/>
            <family val="2"/>
          </rPr>
          <t xml:space="preserve">% of interest earned based on purchase price + REHAB costs irregardless of how long the property was held.
</t>
        </r>
      </text>
    </comment>
  </commentList>
</comments>
</file>

<file path=xl/comments3.xml><?xml version="1.0" encoding="utf-8"?>
<comments xmlns="http://schemas.openxmlformats.org/spreadsheetml/2006/main">
  <authors>
    <author>Peter Jonnes</author>
    <author>Microsoft Office User</author>
  </authors>
  <commentList>
    <comment ref="B2" authorId="0" shapeId="0">
      <text>
        <r>
          <rPr>
            <sz val="9"/>
            <color indexed="81"/>
            <rFont val="Calibri"/>
            <family val="2"/>
          </rPr>
          <t xml:space="preserve">Enter the property address in the Deal Analyzer
</t>
        </r>
      </text>
    </comment>
    <comment ref="G3" authorId="0" shapeId="0">
      <text>
        <r>
          <rPr>
            <sz val="9"/>
            <color indexed="81"/>
            <rFont val="Calibri"/>
            <family val="2"/>
          </rPr>
          <t xml:space="preserve">Enter the square footage in the Deal Analyzer
</t>
        </r>
      </text>
    </comment>
    <comment ref="L149" authorId="1" shapeId="0">
      <text>
        <r>
          <rPr>
            <sz val="10"/>
            <color indexed="81"/>
            <rFont val="Calibri"/>
          </rPr>
          <t>The price per sqft for interior framing will increase as square footage increases. This total amount will automaticaly calculate the price based on the total square footage you enter.</t>
        </r>
        <r>
          <rPr>
            <sz val="8"/>
            <color indexed="81"/>
            <rFont val="Calibri"/>
          </rPr>
          <t xml:space="preserve">
</t>
        </r>
      </text>
    </comment>
  </commentList>
</comments>
</file>

<file path=xl/sharedStrings.xml><?xml version="1.0" encoding="utf-8"?>
<sst xmlns="http://schemas.openxmlformats.org/spreadsheetml/2006/main" count="900" uniqueCount="530">
  <si>
    <t>Shower wall tile - in bathrooms (70 sf usually)</t>
  </si>
  <si>
    <t>High end kitchen</t>
  </si>
  <si>
    <t>Median kitchen</t>
  </si>
  <si>
    <t>Low end kitchen</t>
  </si>
  <si>
    <t>Low end kitchen - refinish existing cabinets</t>
  </si>
  <si>
    <t>New interior doors, closet doors, hardware, &amp; trim (3000 sq ft house)</t>
  </si>
  <si>
    <t>New interior doors, closet doors, hardware, &amp; trim (1500 sq ft house)</t>
  </si>
  <si>
    <t>Fireplace/chimney, brick/stone - replace existing</t>
  </si>
  <si>
    <t>Rewire entire house, new panel, &amp; lighting fixtures (1,500 sqft)</t>
  </si>
  <si>
    <t>Construction permits for addition (city)</t>
  </si>
  <si>
    <t>Construction permits for deck (city)</t>
  </si>
  <si>
    <t>Construction permits over the counter</t>
  </si>
  <si>
    <t>Construction permits for full submittal (county)</t>
  </si>
  <si>
    <t>Construction permits for deck (county)</t>
  </si>
  <si>
    <t>Concrete/Asphalt</t>
  </si>
  <si>
    <t>Cost</t>
  </si>
  <si>
    <t>Drywall, tape &amp; skimcoat walls/ceilings in gutted house</t>
  </si>
  <si>
    <t>Repair existing foundation - settled walls support w/piers</t>
  </si>
  <si>
    <t>New plumbing system in entire house (1,500 sq. ft 3/2 house)</t>
  </si>
  <si>
    <t>Basic electrical work for house &amp; lighting fixtures (1500 sq. ft)</t>
  </si>
  <si>
    <t>Contingency</t>
  </si>
  <si>
    <t>OTHER</t>
  </si>
  <si>
    <t>HVAC</t>
  </si>
  <si>
    <t>Plumbing</t>
  </si>
  <si>
    <t>Electrical</t>
  </si>
  <si>
    <t>INTERIOR</t>
  </si>
  <si>
    <t>EXTERIOR</t>
  </si>
  <si>
    <t>Y/N</t>
  </si>
  <si>
    <t>#</t>
  </si>
  <si>
    <t>Gutters</t>
  </si>
  <si>
    <t>Finish</t>
  </si>
  <si>
    <t>Masonry</t>
  </si>
  <si>
    <t>Painting</t>
  </si>
  <si>
    <t>Windows</t>
  </si>
  <si>
    <t>Garage</t>
  </si>
  <si>
    <t>Landscaping</t>
  </si>
  <si>
    <t>Decks</t>
  </si>
  <si>
    <t>Pergola</t>
  </si>
  <si>
    <t>Fence</t>
  </si>
  <si>
    <t>Hardwood</t>
  </si>
  <si>
    <t>Carpet / Vinyl</t>
  </si>
  <si>
    <t>Tiling</t>
  </si>
  <si>
    <t>Framing</t>
  </si>
  <si>
    <t>Insulation</t>
  </si>
  <si>
    <t>Walls</t>
  </si>
  <si>
    <t>Doors &amp; Trim</t>
  </si>
  <si>
    <t>Basement</t>
  </si>
  <si>
    <t>Demo &amp; Dumpsters</t>
  </si>
  <si>
    <t>INTERIOR (cont.)</t>
  </si>
  <si>
    <t>EXTERIOR (cont.)</t>
  </si>
  <si>
    <t>Exterior Notes</t>
  </si>
  <si>
    <t>Interior Notes</t>
  </si>
  <si>
    <t>MECHANICALS</t>
  </si>
  <si>
    <t>Attic insulation, blown-in</t>
  </si>
  <si>
    <t>Drywall, tape, &amp; skimcoat a wall (1/2" thick)</t>
  </si>
  <si>
    <t>Drywall, tape, &amp; skimcoat a ceiling (1/2" thick)</t>
  </si>
  <si>
    <t>Skimcoating/texturing walls and ceilings only</t>
  </si>
  <si>
    <t>Patchwork section of a wall - (drywall, tape, &amp; finish)</t>
  </si>
  <si>
    <t>Interior door - prehung hollow-core door</t>
  </si>
  <si>
    <t>Interior sliding closet door</t>
  </si>
  <si>
    <t>Exterior front door - single door w/ hardware &amp; dead bolt</t>
  </si>
  <si>
    <t>Exterior french patio door - double door</t>
  </si>
  <si>
    <t>Exterior sliding glass door - double door</t>
  </si>
  <si>
    <t>Crown molding</t>
  </si>
  <si>
    <t>New baseboard trim</t>
  </si>
  <si>
    <t>Raised panel wood wainscoting</t>
  </si>
  <si>
    <t>Pour concrete floor in basement</t>
  </si>
  <si>
    <t>sy</t>
  </si>
  <si>
    <t>Seal basement</t>
  </si>
  <si>
    <t>Reframe support beam</t>
  </si>
  <si>
    <t>Replace stairs</t>
  </si>
  <si>
    <t>Excavation - dig footing trenching</t>
  </si>
  <si>
    <t>Excavation - backfill of trenches</t>
  </si>
  <si>
    <t>New foundation - pour concrete footing</t>
  </si>
  <si>
    <t>New foundation - pour concrete slab on grade (4" thick)</t>
  </si>
  <si>
    <t>New foundation - pour stem wall for single story house</t>
  </si>
  <si>
    <t>Repair existing foundation -  ($10k min - get quote)</t>
  </si>
  <si>
    <t>Repair existing foundation -  stair mud jacking (will vary)</t>
  </si>
  <si>
    <t>Repair existing foundation - bowing walls support with I beams</t>
  </si>
  <si>
    <t>Gas fired forced hot air heating system, ac system, &amp; ductwork</t>
  </si>
  <si>
    <t>Gas fired forced hot air heating system &amp; ductwork</t>
  </si>
  <si>
    <t>Gas fired forced hot air unit only</t>
  </si>
  <si>
    <t>Air conditioning unit only</t>
  </si>
  <si>
    <t>Replace forced air ductwork only</t>
  </si>
  <si>
    <t>Replace boiler &amp; hot water baseboard system</t>
  </si>
  <si>
    <t>Replace boiler unit only</t>
  </si>
  <si>
    <t>Wall heater (install new or remove &amp; replace)</t>
  </si>
  <si>
    <t>Service heating &amp; cooling system only</t>
  </si>
  <si>
    <t>Replace tankless hot water heater</t>
  </si>
  <si>
    <t>Replace gas hot water heater - 40 gallon</t>
  </si>
  <si>
    <t>Replace electrical panel only</t>
  </si>
  <si>
    <t>Replace all lighting fixtures only (1500 sq. ft. house)</t>
  </si>
  <si>
    <t>Demolition work (cost to fill one 40 yd dumpster)</t>
  </si>
  <si>
    <t>Dumpster rental (40 yard)</t>
  </si>
  <si>
    <t>Termite fumigation &amp; treatment</t>
  </si>
  <si>
    <t>Mold removal &amp; abatement - minimum</t>
  </si>
  <si>
    <t>Asbestos removal &amp; abatement - minimum</t>
  </si>
  <si>
    <t>Construction permits for remodel (city)</t>
  </si>
  <si>
    <t>Gravel installed for driveway/sidewalk</t>
  </si>
  <si>
    <t>New deck 15'x15' (add permit if 30" off ground)</t>
  </si>
  <si>
    <t>New deck 10'x10'</t>
  </si>
  <si>
    <t>New deck - treated lumber</t>
  </si>
  <si>
    <t>New deck - cedar material</t>
  </si>
  <si>
    <t>Decking material replacement only</t>
  </si>
  <si>
    <t>Sand &amp; refinish deck only</t>
  </si>
  <si>
    <t>New railings - wood</t>
  </si>
  <si>
    <t>New railings - metal</t>
  </si>
  <si>
    <t>New pergola canopy 15'x15'</t>
  </si>
  <si>
    <t>New pergola canopy 10'x10'</t>
  </si>
  <si>
    <t>Wood fencing</t>
  </si>
  <si>
    <t>Wrought iron fencing</t>
  </si>
  <si>
    <t>Pool Completely Redone ($10k to $15k)</t>
  </si>
  <si>
    <t>Pool (redo plaster only)</t>
  </si>
  <si>
    <t>Ceramic floor tile - other areas of house</t>
  </si>
  <si>
    <t>Septic (all new system)</t>
  </si>
  <si>
    <t>Septic (new tank only)</t>
  </si>
  <si>
    <t>Septic (replace leach field only)</t>
  </si>
  <si>
    <t>Interior painting only</t>
  </si>
  <si>
    <t>Add extra wall prep (damaged walls)</t>
  </si>
  <si>
    <t>Hardwood flooring - solid wood</t>
  </si>
  <si>
    <t>Engineered hardwood flooring</t>
  </si>
  <si>
    <t>Laminate hardwood flooring</t>
  </si>
  <si>
    <t>Sand &amp; refinish existing hardwood flooring</t>
  </si>
  <si>
    <t>Carpet</t>
  </si>
  <si>
    <t>Vinyl or linoleum flooring</t>
  </si>
  <si>
    <t>Ceramic floor tile - in kitchen</t>
  </si>
  <si>
    <t>Backsplash wall tile - in kitchen</t>
  </si>
  <si>
    <t>Ceramic floor tile - in bathrooms</t>
  </si>
  <si>
    <t>Shower accent wall tile - in bathrooms</t>
  </si>
  <si>
    <t>Kitchen extra custom items</t>
  </si>
  <si>
    <t>Luxury home appliances</t>
  </si>
  <si>
    <t>Median price home appliances</t>
  </si>
  <si>
    <t>Low end home appliances</t>
  </si>
  <si>
    <t>Cabinets</t>
  </si>
  <si>
    <t>Countertops</t>
  </si>
  <si>
    <t>Sink</t>
  </si>
  <si>
    <t>Sink Faucet</t>
  </si>
  <si>
    <t>Garbage Disposal</t>
  </si>
  <si>
    <t>Refrigerator</t>
  </si>
  <si>
    <t>Range</t>
  </si>
  <si>
    <t>Range Hood</t>
  </si>
  <si>
    <t>Dishwasher</t>
  </si>
  <si>
    <t>Microwave</t>
  </si>
  <si>
    <t>Large master bath - replace everything</t>
  </si>
  <si>
    <t>Full bath - replace everything</t>
  </si>
  <si>
    <t>Half bath - replace everything</t>
  </si>
  <si>
    <t>Vanity cabinet</t>
  </si>
  <si>
    <t>Vanity countertop - granite or other hard surface</t>
  </si>
  <si>
    <t>Vanity mirror</t>
  </si>
  <si>
    <t>Toilet</t>
  </si>
  <si>
    <t>Bathtub - fiberglass</t>
  </si>
  <si>
    <t>Bathtub &amp; shower surround - fiberglass</t>
  </si>
  <si>
    <t>Shower stall &amp; surround - fiberglass</t>
  </si>
  <si>
    <t>Showerhead &amp; faucet kit</t>
  </si>
  <si>
    <t>Bathroom towel bar kit</t>
  </si>
  <si>
    <t>Subfloor put in (3/4" plywood)</t>
  </si>
  <si>
    <t>Wall insulation</t>
  </si>
  <si>
    <t>Floor insulation</t>
  </si>
  <si>
    <t>Category</t>
  </si>
  <si>
    <t>Repair Type</t>
  </si>
  <si>
    <t>Total</t>
  </si>
  <si>
    <t>Unit</t>
  </si>
  <si>
    <t>sf</t>
  </si>
  <si>
    <t>Roof Sheathing - plywood 1/2" remove &amp; install</t>
  </si>
  <si>
    <t>Roof repair/patch (hard)</t>
  </si>
  <si>
    <t>ea</t>
  </si>
  <si>
    <t>Roof repair/patch (easy)</t>
  </si>
  <si>
    <t>Premium for 3 layer tear off</t>
  </si>
  <si>
    <t>Premium for steep pitched roof</t>
  </si>
  <si>
    <t>Fascia - demo &amp; install new</t>
  </si>
  <si>
    <t>lf</t>
  </si>
  <si>
    <t>Soffit - demo &amp; install new</t>
  </si>
  <si>
    <t>Gutters &amp; downspouts - demo &amp; install new (Flat Cost)</t>
  </si>
  <si>
    <t>Gutters &amp; downspouts - demo &amp; install new (linear foot)</t>
  </si>
  <si>
    <t>Demo existing finishing material</t>
  </si>
  <si>
    <t>Stucco</t>
  </si>
  <si>
    <t>Wood siding</t>
  </si>
  <si>
    <t>Vinyl siding</t>
  </si>
  <si>
    <t>Fiber cement siding</t>
  </si>
  <si>
    <t>Plywood panel siding</t>
  </si>
  <si>
    <t>Patch an exterior section</t>
  </si>
  <si>
    <t>ls</t>
  </si>
  <si>
    <t>Power wash exterior finish</t>
  </si>
  <si>
    <t>Concrete block</t>
  </si>
  <si>
    <t>Stone</t>
  </si>
  <si>
    <t>Brick</t>
  </si>
  <si>
    <t>Tuckpoint brick</t>
  </si>
  <si>
    <t>Power wash exterior masonry</t>
  </si>
  <si>
    <t>Painting both exterior &amp; interior (whole property)</t>
  </si>
  <si>
    <t>Painting exterior only</t>
  </si>
  <si>
    <t>Paint trim only</t>
  </si>
  <si>
    <t>Sand &amp; refinish deck or paint deck</t>
  </si>
  <si>
    <t>Paint fence</t>
  </si>
  <si>
    <t>Paint detached garage</t>
  </si>
  <si>
    <t>Windows, vinyl, average size</t>
  </si>
  <si>
    <t>Windows, wood, restore existing wood (historical)</t>
  </si>
  <si>
    <t>Window, large bay window - remove &amp; replace</t>
  </si>
  <si>
    <t>Garage Door Only -  1 Car - 9'x7'  door, manual</t>
  </si>
  <si>
    <t>Garage Door Only - 2 Car - 16' door, manual</t>
  </si>
  <si>
    <t>Garage Door Opener Installed</t>
  </si>
  <si>
    <t>Reroof detached garage (rip &amp; replace)</t>
  </si>
  <si>
    <t>Build new detached garage</t>
  </si>
  <si>
    <t>Full landscaping makeover large lot</t>
  </si>
  <si>
    <t>Full landscaping makeover medium lot</t>
  </si>
  <si>
    <t>Full landscaping makeover small lot</t>
  </si>
  <si>
    <t>Clean up landscaping &amp; yard only</t>
  </si>
  <si>
    <t>Tree removal (per tree)</t>
  </si>
  <si>
    <t>Tree Planting (per tree)</t>
  </si>
  <si>
    <t>Demo existing concrete or asphalt</t>
  </si>
  <si>
    <t>Concrete installed for driveway/patio/sidewalk</t>
  </si>
  <si>
    <t>Asphalt installed in driveway</t>
  </si>
  <si>
    <t>Repair Estimator</t>
  </si>
  <si>
    <t xml:space="preserve">* Additional Mediator/Engineer/Pro Quotes Needed: </t>
  </si>
  <si>
    <t>Roof *</t>
  </si>
  <si>
    <t>Pool *</t>
  </si>
  <si>
    <t>Septic *</t>
  </si>
  <si>
    <t>Foundation *</t>
  </si>
  <si>
    <t>Permits *</t>
  </si>
  <si>
    <t>Termites/Abatement *</t>
  </si>
  <si>
    <t xml:space="preserve"> </t>
  </si>
  <si>
    <t>Includes: cabinets, counter-tops, backsplash, plumbing &amp; electrical work &amp; fixtures in kitchen only. Excludes: appliances, flooring, paint.</t>
  </si>
  <si>
    <t>Kitchen - (Grouped)</t>
  </si>
  <si>
    <t>Includes: Refrigerator, range, range hood, dishwasher, microwave</t>
  </si>
  <si>
    <t>Appliances - (Grouped)</t>
  </si>
  <si>
    <t>Kitchen - (By Item)</t>
  </si>
  <si>
    <t>Includes: vanity, counter-top, mirror, sink, faucet, tub, surround, shower-head &amp; faucet kit, towel bar kit fan, lighting kit, basic plumbing &amp; electrical work. Excludes flooring &amp; paint</t>
  </si>
  <si>
    <t>Bathroom - (Grouped)</t>
  </si>
  <si>
    <t>Bathroom - (By Item)</t>
  </si>
  <si>
    <t>%</t>
  </si>
  <si>
    <t>Property Address:</t>
  </si>
  <si>
    <t>Y</t>
  </si>
  <si>
    <t>ARV</t>
  </si>
  <si>
    <t>N</t>
  </si>
  <si>
    <t>Purchase+Rehab</t>
  </si>
  <si>
    <t>Date:</t>
  </si>
  <si>
    <t>Purchase Price</t>
  </si>
  <si>
    <t>Annually</t>
  </si>
  <si>
    <t>Monthly</t>
  </si>
  <si>
    <t>After Repair Value</t>
  </si>
  <si>
    <t>Property Taxes</t>
  </si>
  <si>
    <t>Current "As Is" Value</t>
  </si>
  <si>
    <t>HOA &amp; Condo Fees</t>
  </si>
  <si>
    <t>Estimated Repair Costs</t>
  </si>
  <si>
    <t>Insurance Costs</t>
  </si>
  <si>
    <t>Estimated Hold Time (months)</t>
  </si>
  <si>
    <t>Miscellaneous Holding Costs</t>
  </si>
  <si>
    <t>First Mortgage / Lien Amount</t>
  </si>
  <si>
    <t xml:space="preserve">Escrow / Attorney Fees </t>
  </si>
  <si>
    <t>First Mortgage Points</t>
  </si>
  <si>
    <t>Title Insurance / Search Costs</t>
  </si>
  <si>
    <t>First Mortgage Interest</t>
  </si>
  <si>
    <t>Miscellaneous Buying Costs</t>
  </si>
  <si>
    <t>First Mortgage Monthly Interest Only Payment</t>
  </si>
  <si>
    <t>Second Mortgage / Lien Amount</t>
  </si>
  <si>
    <t>Second Mortgage Points</t>
  </si>
  <si>
    <t>Second Mortgage Interest</t>
  </si>
  <si>
    <t>Selling Recording Fees</t>
  </si>
  <si>
    <t>Second Mortgage Monthly Interest Only Payment</t>
  </si>
  <si>
    <t>Realtor Fees</t>
  </si>
  <si>
    <t>Misc. Mortgage / Lien Amount</t>
  </si>
  <si>
    <t>Transfer &amp; Conveyance Fees</t>
  </si>
  <si>
    <t>Misc. Mortgage Points</t>
  </si>
  <si>
    <t>Home Warranty</t>
  </si>
  <si>
    <t>Misc. Mortgage Interest</t>
  </si>
  <si>
    <t>Staging Costs</t>
  </si>
  <si>
    <t>Misc. Mortgage Monthly Interest Only Payment</t>
  </si>
  <si>
    <t>Marketing Costs</t>
  </si>
  <si>
    <t>Miscellaneous Financing Costs</t>
  </si>
  <si>
    <t>Miscellaneous Selling Costs</t>
  </si>
  <si>
    <t xml:space="preserve">After Repair Value </t>
  </si>
  <si>
    <t xml:space="preserve">Assumes Sale is on or before </t>
  </si>
  <si>
    <t>Purchase + Repair Estimate Cost Per Sq. Ft</t>
  </si>
  <si>
    <t>Down Payment Required at Closing</t>
  </si>
  <si>
    <t>Total Financing Costs</t>
  </si>
  <si>
    <t>My Committed Capital</t>
  </si>
  <si>
    <t>Total Holding Costs</t>
  </si>
  <si>
    <t>My Annualized Cash on Cash Return</t>
  </si>
  <si>
    <t>Total Buying Transaction Costs</t>
  </si>
  <si>
    <t>Total Annualized Cash on Cash Return</t>
  </si>
  <si>
    <t>Total Selling Transaction Costs</t>
  </si>
  <si>
    <t>Purchase + Rehab Return on Investment (ROI)</t>
  </si>
  <si>
    <t>Address:</t>
  </si>
  <si>
    <t>Bed:</t>
  </si>
  <si>
    <t>List Price</t>
  </si>
  <si>
    <t>Bed</t>
  </si>
  <si>
    <t>Bath</t>
  </si>
  <si>
    <t>DOM</t>
  </si>
  <si>
    <t>Sources of Funds</t>
  </si>
  <si>
    <t>1st Lien Mortgage</t>
  </si>
  <si>
    <t>2nd Lien Mortgage (Seller/Private)</t>
  </si>
  <si>
    <t>Equity (Borrower's Cash)</t>
  </si>
  <si>
    <t>Amount</t>
  </si>
  <si>
    <t>Uses of Funds</t>
  </si>
  <si>
    <t>Closing Costs</t>
  </si>
  <si>
    <t>Hard Costs</t>
  </si>
  <si>
    <t>Financing</t>
  </si>
  <si>
    <t>Soft Costs (Carry Costs)</t>
  </si>
  <si>
    <t>Sources &amp; Uses</t>
  </si>
  <si>
    <t>Total Sources</t>
  </si>
  <si>
    <t>Total Uses</t>
  </si>
  <si>
    <t>Beds:</t>
  </si>
  <si>
    <t>Baths:</t>
  </si>
  <si>
    <t>Sq Ft:</t>
  </si>
  <si>
    <t>Executive Summary</t>
  </si>
  <si>
    <t>Closing Date:</t>
  </si>
  <si>
    <t>Loan Amt Requested:</t>
  </si>
  <si>
    <t>Exit Strategy:</t>
  </si>
  <si>
    <t>Term:</t>
  </si>
  <si>
    <t>Map with Comps</t>
  </si>
  <si>
    <t>Construction Budget / Property Inspection</t>
  </si>
  <si>
    <t>Deal Analyzer</t>
  </si>
  <si>
    <t>Photos - Interior/Exterior</t>
  </si>
  <si>
    <t>Attachments</t>
  </si>
  <si>
    <t>ARV:</t>
  </si>
  <si>
    <t>Vacant:</t>
  </si>
  <si>
    <t>Inspected By:</t>
  </si>
  <si>
    <t>Bath:</t>
  </si>
  <si>
    <t>Exterior Repairs</t>
  </si>
  <si>
    <t>Interior Repairs</t>
  </si>
  <si>
    <t>Mechanical Repairs</t>
  </si>
  <si>
    <t>Other Repairs</t>
  </si>
  <si>
    <t>Investment Summary</t>
  </si>
  <si>
    <t>Comparables</t>
  </si>
  <si>
    <t>Distance</t>
  </si>
  <si>
    <t>Year Built</t>
  </si>
  <si>
    <t>Sold Price</t>
  </si>
  <si>
    <t>Parking</t>
  </si>
  <si>
    <t>List Date</t>
  </si>
  <si>
    <t>Size (SF)</t>
  </si>
  <si>
    <t>Land</t>
  </si>
  <si>
    <t>Sold Date</t>
  </si>
  <si>
    <t>PSF</t>
  </si>
  <si>
    <t>Type</t>
  </si>
  <si>
    <t>Provide a summary of the property and rehab plans here for the lender to review the lending opportunity.</t>
  </si>
  <si>
    <t>New construction framing- (includes walls, floors &amp; roof)</t>
  </si>
  <si>
    <t>Interior framing changes (non load barring)</t>
  </si>
  <si>
    <t>Possible additional Inspections, Quotes or Mediation needed</t>
  </si>
  <si>
    <t>Install french drains (estimate depending on condition - L x W)</t>
  </si>
  <si>
    <t>Total Repairs</t>
  </si>
  <si>
    <t>Repairs Subtotal</t>
  </si>
  <si>
    <t>Possible add'l Inspections needed</t>
  </si>
  <si>
    <t>Roof (rip and replace) - architectural shingle</t>
  </si>
  <si>
    <t>Rollover (add a layer of shingles) - architectural shingle</t>
  </si>
  <si>
    <t>Chain-link fence</t>
  </si>
  <si>
    <t>High end home appliances</t>
  </si>
  <si>
    <t>Construction permits for addition (county)</t>
  </si>
  <si>
    <t>Install sump pump</t>
    <phoneticPr fontId="4" type="noConversion"/>
  </si>
  <si>
    <t>ea</t>
    <phoneticPr fontId="4" type="noConversion"/>
  </si>
  <si>
    <t>About the Investment Summary</t>
  </si>
  <si>
    <t>Tax Assessor Card</t>
  </si>
  <si>
    <t>* Pricing will vary based on what type of contractors you get quotes back from. Prices will also vary based on the type materials (low end/high end) you ultimately choose to install. As you start to regularly work with certain contractors you will want to update this repair estimator twice a year based on who you work with and what prices you are able to negotiate. You always want to negotiate quotes you get back and shoot for wholesale pricing.</t>
  </si>
  <si>
    <t>Misc Contingency Cost (10-20% depending on unknowns)</t>
  </si>
  <si>
    <t xml:space="preserve">Bed </t>
  </si>
  <si>
    <t xml:space="preserve">Sell to my Friend </t>
  </si>
  <si>
    <t>PROPERTY 1</t>
  </si>
  <si>
    <t>PROPERTY 2</t>
  </si>
  <si>
    <t>PROPERTY 3</t>
  </si>
  <si>
    <t>Size (Sqft)</t>
  </si>
  <si>
    <t>Land Size</t>
  </si>
  <si>
    <t xml:space="preserve">Year Built </t>
  </si>
  <si>
    <t xml:space="preserve">Distance </t>
  </si>
  <si>
    <t xml:space="preserve">Parking </t>
  </si>
  <si>
    <t xml:space="preserve">List Date </t>
  </si>
  <si>
    <t xml:space="preserve">List Price </t>
  </si>
  <si>
    <t xml:space="preserve">Sold Date </t>
  </si>
  <si>
    <t xml:space="preserve">Sold Price </t>
  </si>
  <si>
    <t xml:space="preserve">Price Sqft </t>
  </si>
  <si>
    <t xml:space="preserve">DOM </t>
  </si>
  <si>
    <t>PROPERTY DETAILS</t>
  </si>
  <si>
    <t xml:space="preserve">PROPERTY DESCRIPTION </t>
  </si>
  <si>
    <t>PROJECT DETAILS</t>
  </si>
  <si>
    <t>DEAL FACTORS</t>
  </si>
  <si>
    <t>BUYING COSTS</t>
  </si>
  <si>
    <t>FINANCING COSTS</t>
  </si>
  <si>
    <t>SELLING COSTS</t>
  </si>
  <si>
    <t>COMPARABLES</t>
  </si>
  <si>
    <t xml:space="preserve">After Repair Value:  </t>
  </si>
  <si>
    <t xml:space="preserve">"As Is" Value:  </t>
  </si>
  <si>
    <t xml:space="preserve">Purchase Price:  </t>
  </si>
  <si>
    <t xml:space="preserve">Hold Time (months):  </t>
  </si>
  <si>
    <t xml:space="preserve">Property Taxes (annually):  </t>
  </si>
  <si>
    <t xml:space="preserve">HOA &amp; Condo Fees (monthly):  </t>
  </si>
  <si>
    <t xml:space="preserve">Gas:  </t>
  </si>
  <si>
    <t xml:space="preserve">Water:  </t>
  </si>
  <si>
    <t xml:space="preserve">Electricity:  </t>
  </si>
  <si>
    <t xml:space="preserve">Miscellaneous Holding Costs:  </t>
  </si>
  <si>
    <t>Address</t>
  </si>
  <si>
    <t xml:space="preserve">Property Address:  </t>
  </si>
  <si>
    <t xml:space="preserve">Bed:  </t>
  </si>
  <si>
    <t xml:space="preserve">Bath:  </t>
  </si>
  <si>
    <t xml:space="preserve">Total Sqft:  </t>
  </si>
  <si>
    <t xml:space="preserve"># of Units:  </t>
  </si>
  <si>
    <t xml:space="preserve">Date:  </t>
  </si>
  <si>
    <t xml:space="preserve">Occupied:  </t>
  </si>
  <si>
    <t xml:space="preserve">Evaluator:  </t>
  </si>
  <si>
    <t xml:space="preserve">Closing Date:  </t>
  </si>
  <si>
    <t xml:space="preserve">Exit Strategy:  </t>
  </si>
  <si>
    <t>Deal Information</t>
  </si>
  <si>
    <t xml:space="preserve">Insurance (annually):  </t>
  </si>
  <si>
    <t>Utility Costs</t>
  </si>
  <si>
    <t xml:space="preserve">Other Utilities:  </t>
  </si>
  <si>
    <t>PROPERTY VALUES &amp; PRICING</t>
  </si>
  <si>
    <t>HOLDING COSTS</t>
  </si>
  <si>
    <t>Total Purchase &amp; Repair Cost</t>
  </si>
  <si>
    <t>Total Monthly Holding Costs</t>
  </si>
  <si>
    <t>BUYING TRANSACTION COSTS</t>
  </si>
  <si>
    <t>% of Purchase</t>
  </si>
  <si>
    <t>Total Selling Transaction Cost</t>
  </si>
  <si>
    <t>Total Buying Transaction Cost</t>
  </si>
  <si>
    <t>SELLING TRANSACTION COSTS</t>
  </si>
  <si>
    <t>% of ARV</t>
  </si>
  <si>
    <t>Click to Select How to Calculate Your Loan ==&gt;&gt;</t>
  </si>
  <si>
    <t>ESTIMATED NET PROFIT &amp; ROI SNAPSHOT</t>
  </si>
  <si>
    <t>ESTIMATED NET PROFIT</t>
  </si>
  <si>
    <t>TOTAL COSTS RETURN ON INVESTMENT (ROI)</t>
  </si>
  <si>
    <t>PURCHASE &amp; DEAL ANALYSIS</t>
  </si>
  <si>
    <t>POTENTIAL RETURN &amp; PROFIT ANALYSIS</t>
  </si>
  <si>
    <t>Property 1</t>
  </si>
  <si>
    <t>Property 2</t>
  </si>
  <si>
    <t>Property 3</t>
  </si>
  <si>
    <t>Open load bearing/structural wall (per 8' span)</t>
  </si>
  <si>
    <t>Remove popcorn ceilings</t>
  </si>
  <si>
    <t>After Repair Value (ARV)</t>
  </si>
  <si>
    <t>SECTION TOTALS</t>
  </si>
  <si>
    <t>Interior Framing Changes</t>
  </si>
  <si>
    <t>Data Tables for Repair Estimator Formulas</t>
  </si>
  <si>
    <t>Sq Ft</t>
  </si>
  <si>
    <t>Note</t>
  </si>
  <si>
    <t>This table is used to calculate the cost of framing changes based on the sqft entered by the user.  The larger the sqft, the less per sqft it costs so this is a vlookup table used for the formula</t>
  </si>
  <si>
    <t>This sheet contains data used in formulas throughout this document.  Editing or Deleting parts of this sheet may change or break formulas on other tabs.  Make changes at your own risk.</t>
  </si>
  <si>
    <t>psf</t>
  </si>
  <si>
    <t>About the Repair Estimator</t>
  </si>
  <si>
    <t>$3 - $9</t>
  </si>
  <si>
    <t xml:space="preserve">123 Main Street </t>
  </si>
  <si>
    <t xml:space="preserve">SFH </t>
  </si>
  <si>
    <t xml:space="preserve">1 Car </t>
  </si>
  <si>
    <t xml:space="preserve">Extra </t>
  </si>
  <si>
    <r>
      <rPr>
        <b/>
        <sz val="7"/>
        <color rgb="FF000000"/>
        <rFont val="Calibri"/>
        <scheme val="minor"/>
      </rPr>
      <t>Note</t>
    </r>
    <r>
      <rPr>
        <sz val="7"/>
        <color rgb="FF000000"/>
        <rFont val="Calibri"/>
        <scheme val="minor"/>
      </rPr>
      <t xml:space="preserve">: Anything that is not on the sheet already </t>
    </r>
  </si>
  <si>
    <t>ea = each | lf = linear feet | ls = lump sum | sf = square feet | psf = property sq ft | sy = square yards</t>
  </si>
  <si>
    <t>Total Square Footage:</t>
  </si>
  <si>
    <t># of Units:</t>
  </si>
  <si>
    <t>Evaluator Name:</t>
  </si>
  <si>
    <t>Property Description:</t>
  </si>
  <si>
    <t>Occupied? (Y/N)</t>
  </si>
  <si>
    <t>The address of the property you want to analyze</t>
  </si>
  <si>
    <t>The total square footage of the entire interior of the property</t>
  </si>
  <si>
    <t xml:space="preserve">Value of the property after all repairs have been made regadless of purchase price. Also known as "Fair Market Value" </t>
  </si>
  <si>
    <t>Value of the property in current "as is" condition. Not factoring repairs needed</t>
  </si>
  <si>
    <t>The dollar amount of estimated repairs based on your analysis, or select "Load from Hammerpoint Estimate"</t>
  </si>
  <si>
    <t>The dollar amount you plan to purchase the property for</t>
  </si>
  <si>
    <t>Estimated number of months you plan to own the property from purhase date to close of escrow sale date</t>
  </si>
  <si>
    <t>The 1st position loan amount borrowed to purchase the property and / or fund the rehab</t>
  </si>
  <si>
    <t>The 1st position points charged as a % of Mortgage Lien Amount. 1 Point = 1% in calculation.</t>
  </si>
  <si>
    <t>The 1st position Interest rate amount borrowed to purchase the property and / or fund the rehab</t>
  </si>
  <si>
    <t>The 2nd position loan amount borrowed to purchase the property and / or fund the rehab</t>
  </si>
  <si>
    <t>The 2nd position points charged as a % of Mortgage Lien Amount. 1 Point = 1% in calculation.</t>
  </si>
  <si>
    <t>The 2nd position Interest rate amount borrowed to purchase the property and / or fund the rehab</t>
  </si>
  <si>
    <t>Any custom costs related to Financing. This is a custom naming field which you can modify by clicking the EDIT button to the right.</t>
  </si>
  <si>
    <t>Escrow / Attorney Fees</t>
  </si>
  <si>
    <t>Title Insurance / Title Search Costs</t>
  </si>
  <si>
    <t>Policy to insure clear and marketable title. Changes based on area, type of policy, underwriter</t>
  </si>
  <si>
    <t>Fees taken from the HUD-1 County recorders fees charged by escrow company</t>
  </si>
  <si>
    <t>Commissions paid to realtors involved as part of the transaction</t>
  </si>
  <si>
    <t>For the transfer of land charged by County from seller to buyer. Typically a % of the land value based on county assessor valuation</t>
  </si>
  <si>
    <t>Offers protection for mechanical systems and attached appliances against unexpected repairs not covered by homeowner's insurance; overage extends over a specific time period and does not cover the home's structure</t>
  </si>
  <si>
    <t>Cost for getting property ready to sell by bringing in furnishings so the property will show as if someone lived there</t>
  </si>
  <si>
    <t>Costs related to offline and online advertising, printing, and promotion to help sell the property.</t>
  </si>
  <si>
    <t>Total Borrowing Costs of first, second, and rehab financing fees, points, and interest charged over duration of the project</t>
  </si>
  <si>
    <t>Total Costs for all monthly carrying expenses based on the duration of how long property is held between purchase and sales date.</t>
  </si>
  <si>
    <t>Total transactional costs related to the buying phase of the transaction</t>
  </si>
  <si>
    <t>Total transactional costs related to the selling phase of the transaction.</t>
  </si>
  <si>
    <t>Estimated NET PROFIT</t>
  </si>
  <si>
    <t>Difference between the revenue and expenses of the entire project before income taxes.</t>
  </si>
  <si>
    <t>Potential Return &amp; Profit Analysis</t>
  </si>
  <si>
    <t>Section Summary of key profit and deal value measurements</t>
  </si>
  <si>
    <t xml:space="preserve">Amount of your own money out of pocket that you put in the deal as the purchaser </t>
  </si>
  <si>
    <t>Total Purchase+Rehab Estimate costs divided by total square feet of the property used as a measurement market indicator</t>
  </si>
  <si>
    <t>% of interest earned based on purchase + rehab costs irregardless of how long the property was held.</t>
  </si>
  <si>
    <t>Total Costs Return on Investment (ROI)</t>
  </si>
  <si>
    <t>% of interest earned based on purchase +ALL costs irregardless of how long the property was held</t>
  </si>
  <si>
    <t>% of interest estimated that you would earn over a year period based on your out of pocket funds that you put into the deal as a purchaser.</t>
  </si>
  <si>
    <t xml:space="preserve">% of interest earned based on purchase price + all other costs over a 12 month annualized period </t>
  </si>
  <si>
    <t>Deal Information Tab</t>
  </si>
  <si>
    <t>Property Address</t>
  </si>
  <si>
    <t>Total number of bedrooms in the property</t>
  </si>
  <si>
    <t>Total number of bathrooms in the property</t>
  </si>
  <si>
    <t>Total Square Footage</t>
  </si>
  <si>
    <t>Number of Units</t>
  </si>
  <si>
    <t>Number of units in the property</t>
  </si>
  <si>
    <t>Date</t>
  </si>
  <si>
    <t>Date of this analysis</t>
  </si>
  <si>
    <t>Occupied</t>
  </si>
  <si>
    <t>Select Yes or No from the drop down</t>
  </si>
  <si>
    <t>Evaluator Name</t>
  </si>
  <si>
    <t>Name of the person that evaluated the property</t>
  </si>
  <si>
    <t>Closing Date</t>
  </si>
  <si>
    <t>Estimated date to close on the property</t>
  </si>
  <si>
    <t>Exit Strategy</t>
  </si>
  <si>
    <t>Expected plan for the property once it's been rehabbed, including, presale, traditional sale, rental property, etc</t>
  </si>
  <si>
    <t>"As Is" Value</t>
  </si>
  <si>
    <t xml:space="preserve">Estimated Repair Costs </t>
  </si>
  <si>
    <t>Hold Time (months)</t>
  </si>
  <si>
    <t>Property Taxes (annually)</t>
  </si>
  <si>
    <t>Enter the annual property taxes as reported on the county tax assessors website or enter an estimate</t>
  </si>
  <si>
    <t>Insurance (annually)</t>
  </si>
  <si>
    <t>Enter the property insurance premium here typically billed monthly. Vacant properties typically cost more than occupied.</t>
  </si>
  <si>
    <t>HOA &amp; Condo Fees (monthly)</t>
  </si>
  <si>
    <t>Enter the Home Owner Association fees typically charged monthly here. If paid quarterly, divide the amount by 3</t>
  </si>
  <si>
    <t>Gas (monthly)</t>
  </si>
  <si>
    <t>Estimated monthly cost of gas bill while you own the property</t>
  </si>
  <si>
    <t>Water (monthly)</t>
  </si>
  <si>
    <t>Estimated monthly cost of water bill while you own the property</t>
  </si>
  <si>
    <t>Electricity (monthly)</t>
  </si>
  <si>
    <t>Estimated monthly cost of electric bil while you own the property</t>
  </si>
  <si>
    <t>Other Utiliites (monthly)</t>
  </si>
  <si>
    <t>Estimated monthly cost of other utilities used while you own the property</t>
  </si>
  <si>
    <t>Enter any custom costs related to holding the property</t>
  </si>
  <si>
    <t>An additional amount borrowed to fund the rehab repair costs for the property</t>
  </si>
  <si>
    <t>An additional position points charged as a % of Mortgage Lien Amount. 1 Point = 1% in calculation.</t>
  </si>
  <si>
    <t>An additional Interest rate amount borrowed to purchase the property and / or fund the rehab</t>
  </si>
  <si>
    <t xml:space="preserve">Enter any additional custom costs related to Buying transactions. </t>
  </si>
  <si>
    <t xml:space="preserve">Fees charged by attorney or escrow company at closing. Typically a % of sales price.  Fees vary by Attorney or Escrow state. </t>
  </si>
  <si>
    <t xml:space="preserve">Enter any additional custom costs related to Selling transactions. </t>
  </si>
  <si>
    <t>Deal Analyzer Tab</t>
  </si>
  <si>
    <t>Amount of funds needed at time of closing to purchase the property</t>
  </si>
  <si>
    <t>Bill Smith</t>
  </si>
  <si>
    <t>123 Main Street</t>
  </si>
  <si>
    <t xml:space="preserve">This is a 3 bed house located in downtown area of Smithsville. Perfect for the first time home buyer. Needs some renovations. </t>
  </si>
  <si>
    <t>Single Family Colonial in Smithville</t>
  </si>
  <si>
    <t>1.01.2017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</si>
</sst>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7" formatCode="&quot;$&quot;#,##0.00_);\(&quot;$&quot;#,##0.00\)"/>
    <numFmt numFmtId="8" formatCode="&quot;$&quot;#,##0.00_);[Red]\(&quot;$&quot;#,##0.00\)"/>
    <numFmt numFmtId="44" formatCode="_(&quot;$&quot;* #,##0.00_);_(&quot;$&quot;* \(#,##0.00\);_(&quot;$&quot;* &quot;-&quot;??_);_(@_)"/>
    <numFmt numFmtId="43" formatCode="_(* #,##0.00_);_(* \(#,##0.00\);_(* &quot;-&quot;??_);_(@_)"/>
    <numFmt numFmtId="164" formatCode="&quot;£&quot;#,##0;\-&quot;£&quot;#,##0"/>
    <numFmt numFmtId="165" formatCode="_-* #,##0_-;\-* #,##0_-;_-* &quot;-&quot;_-;_-@_-"/>
    <numFmt numFmtId="166" formatCode="_-* #,##0.00_-;\-* #,##0.00_-;_-* &quot;-&quot;??_-;_-@_-"/>
    <numFmt numFmtId="167" formatCode="&quot;$&quot;#,##0.00"/>
    <numFmt numFmtId="168" formatCode="&quot;$&quot;#,##0"/>
    <numFmt numFmtId="169" formatCode="[$-409]mmmm\ d\,\ yyyy;@"/>
    <numFmt numFmtId="170" formatCode="#,##0.00;\-#,##0.00;&quot;-&quot;"/>
    <numFmt numFmtId="171" formatCode="#,##0%;\-#,##0%;&quot;- &quot;"/>
    <numFmt numFmtId="172" formatCode="#,##0.0%;\-#,##0.0%;&quot;- &quot;"/>
    <numFmt numFmtId="173" formatCode="#,##0.00%;\-#,##0.00%;&quot;- &quot;"/>
    <numFmt numFmtId="174" formatCode="#,##0;\-#,##0;&quot;-&quot;"/>
    <numFmt numFmtId="175" formatCode="#,##0.0;\-#,##0.0;&quot;-&quot;"/>
    <numFmt numFmtId="176" formatCode="0.000_)"/>
    <numFmt numFmtId="177" formatCode="0.00_)"/>
    <numFmt numFmtId="178" formatCode="[$-F800]dddd\,\ mmmm\ dd\,\ yyyy"/>
    <numFmt numFmtId="179" formatCode="0%;\(0%\)"/>
    <numFmt numFmtId="180" formatCode="\ \ @"/>
    <numFmt numFmtId="181" formatCode="\ \ \ \ @"/>
    <numFmt numFmtId="182" formatCode="0.0%"/>
    <numFmt numFmtId="183" formatCode="m/d/yy;@"/>
    <numFmt numFmtId="184" formatCode="_(&quot;$&quot;* #,##0_);_(&quot;$&quot;* \(#,##0\);_(&quot;$&quot;* &quot;-&quot;??_);_(@_)"/>
  </numFmts>
  <fonts count="9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b/>
      <sz val="16"/>
      <color theme="1"/>
      <name val="Calibri"/>
      <scheme val="minor"/>
    </font>
    <font>
      <sz val="10"/>
      <color theme="1"/>
      <name val="Calibri"/>
      <scheme val="minor"/>
    </font>
    <font>
      <b/>
      <sz val="10"/>
      <color theme="1"/>
      <name val="Calibri"/>
      <scheme val="minor"/>
    </font>
    <font>
      <sz val="9"/>
      <color theme="1"/>
      <name val="Calibri"/>
      <scheme val="minor"/>
    </font>
    <font>
      <sz val="10"/>
      <color indexed="8"/>
      <name val="Calibri"/>
    </font>
    <font>
      <b/>
      <sz val="10"/>
      <color indexed="8"/>
      <name val="Calibri"/>
    </font>
    <font>
      <b/>
      <sz val="28"/>
      <color theme="1"/>
      <name val="Calibri"/>
      <scheme val="minor"/>
    </font>
    <font>
      <sz val="11"/>
      <color rgb="FF000000"/>
      <name val="Calibri"/>
      <scheme val="minor"/>
    </font>
    <font>
      <sz val="11"/>
      <color theme="1"/>
      <name val="Calibri"/>
      <scheme val="minor"/>
    </font>
    <font>
      <sz val="7"/>
      <color theme="1"/>
      <name val="Calibri"/>
      <scheme val="minor"/>
    </font>
    <font>
      <sz val="7"/>
      <color rgb="FF000000"/>
      <name val="Calibri"/>
      <scheme val="minor"/>
    </font>
    <font>
      <sz val="6"/>
      <color theme="1"/>
      <name val="Calibri"/>
      <scheme val="minor"/>
    </font>
    <font>
      <b/>
      <sz val="14"/>
      <color theme="1"/>
      <name val="Calibri"/>
      <scheme val="minor"/>
    </font>
    <font>
      <sz val="10"/>
      <name val="Arial"/>
      <family val="2"/>
    </font>
    <font>
      <sz val="8"/>
      <name val="Arial"/>
      <family val="2"/>
    </font>
    <font>
      <sz val="9"/>
      <name val="Arial"/>
      <family val="2"/>
    </font>
    <font>
      <b/>
      <sz val="12"/>
      <name val="Arial"/>
      <family val="2"/>
    </font>
    <font>
      <sz val="9"/>
      <color indexed="81"/>
      <name val="Arial"/>
      <family val="2"/>
    </font>
    <font>
      <b/>
      <u/>
      <sz val="9"/>
      <color indexed="81"/>
      <name val="Arial"/>
      <family val="2"/>
    </font>
    <font>
      <b/>
      <sz val="9"/>
      <color indexed="81"/>
      <name val="Arial"/>
      <family val="2"/>
    </font>
    <font>
      <sz val="9"/>
      <color indexed="10"/>
      <name val="Arial"/>
      <family val="2"/>
    </font>
    <font>
      <b/>
      <u/>
      <sz val="9"/>
      <color indexed="81"/>
      <name val="Tahoma"/>
      <family val="2"/>
    </font>
    <font>
      <b/>
      <sz val="9"/>
      <color indexed="81"/>
      <name val="Tahoma"/>
      <family val="2"/>
    </font>
    <font>
      <sz val="9"/>
      <color indexed="10"/>
      <name val="Tahoma"/>
      <family val="2"/>
    </font>
    <font>
      <sz val="10"/>
      <color indexed="8"/>
      <name val="Arial"/>
      <family val="2"/>
    </font>
    <font>
      <sz val="11"/>
      <name val="Times"/>
      <family val="1"/>
    </font>
    <font>
      <sz val="10"/>
      <color indexed="12"/>
      <name val="Arial"/>
      <family val="2"/>
    </font>
    <font>
      <u/>
      <sz val="8"/>
      <color indexed="12"/>
      <name val="Arial"/>
      <family val="2"/>
    </font>
    <font>
      <u/>
      <sz val="10"/>
      <color indexed="12"/>
      <name val="Verdana"/>
      <family val="2"/>
    </font>
    <font>
      <sz val="10"/>
      <color indexed="14"/>
      <name val="Arial"/>
      <family val="2"/>
    </font>
    <font>
      <b/>
      <i/>
      <sz val="16"/>
      <name val="Helvetica"/>
      <family val="2"/>
    </font>
    <font>
      <sz val="11"/>
      <color indexed="8"/>
      <name val="Calibri"/>
      <family val="2"/>
    </font>
    <font>
      <sz val="12"/>
      <color indexed="8"/>
      <name val="Calibri"/>
      <family val="2"/>
    </font>
    <font>
      <sz val="9"/>
      <color indexed="8"/>
      <name val="Calibri"/>
      <family val="2"/>
    </font>
    <font>
      <sz val="10"/>
      <color indexed="10"/>
      <name val="Arial"/>
      <family val="2"/>
    </font>
    <font>
      <u/>
      <sz val="8.4"/>
      <color indexed="12"/>
      <name val="Arial"/>
      <family val="2"/>
    </font>
    <font>
      <sz val="14"/>
      <color theme="1"/>
      <name val="Calibri"/>
      <scheme val="minor"/>
    </font>
    <font>
      <b/>
      <sz val="10"/>
      <name val="Calibri"/>
      <scheme val="minor"/>
    </font>
    <font>
      <sz val="10"/>
      <name val="Calibri"/>
      <scheme val="minor"/>
    </font>
    <font>
      <sz val="9"/>
      <color indexed="81"/>
      <name val="Calibri"/>
      <family val="2"/>
    </font>
    <font>
      <b/>
      <sz val="10"/>
      <name val="Arial"/>
      <family val="2"/>
    </font>
    <font>
      <b/>
      <sz val="8"/>
      <name val="Arial"/>
      <family val="2"/>
    </font>
    <font>
      <b/>
      <sz val="8"/>
      <color theme="1"/>
      <name val="Calibri"/>
      <scheme val="minor"/>
    </font>
    <font>
      <b/>
      <sz val="7"/>
      <color rgb="FF000000"/>
      <name val="Calibri"/>
      <scheme val="minor"/>
    </font>
    <font>
      <b/>
      <sz val="9"/>
      <color theme="1"/>
      <name val="Calibri"/>
      <scheme val="minor"/>
    </font>
    <font>
      <sz val="8"/>
      <color theme="1"/>
      <name val="Calibri"/>
      <scheme val="minor"/>
    </font>
    <font>
      <b/>
      <sz val="12"/>
      <color theme="0"/>
      <name val="Calibri"/>
      <family val="2"/>
      <scheme val="minor"/>
    </font>
    <font>
      <b/>
      <u/>
      <sz val="10"/>
      <name val="Calibri"/>
      <scheme val="minor"/>
    </font>
    <font>
      <b/>
      <sz val="26"/>
      <name val="Calibri (Body)"/>
    </font>
    <font>
      <sz val="12"/>
      <name val="Calibri"/>
      <scheme val="minor"/>
    </font>
    <font>
      <b/>
      <sz val="12"/>
      <name val="Calibri"/>
      <scheme val="minor"/>
    </font>
    <font>
      <b/>
      <sz val="11"/>
      <name val="Calibri"/>
      <scheme val="minor"/>
    </font>
    <font>
      <b/>
      <sz val="26"/>
      <color theme="1"/>
      <name val="Calibri"/>
      <family val="2"/>
      <scheme val="minor"/>
    </font>
    <font>
      <sz val="26"/>
      <color theme="1"/>
      <name val="Calibri"/>
      <family val="2"/>
      <scheme val="minor"/>
    </font>
    <font>
      <b/>
      <sz val="10"/>
      <color indexed="81"/>
      <name val="Calibri"/>
    </font>
    <font>
      <b/>
      <sz val="14"/>
      <name val="Calibri"/>
      <scheme val="minor"/>
    </font>
    <font>
      <sz val="13"/>
      <color theme="1"/>
      <name val="Calibri"/>
      <family val="2"/>
      <scheme val="minor"/>
    </font>
    <font>
      <sz val="13"/>
      <name val="Calibri"/>
      <family val="2"/>
      <scheme val="minor"/>
    </font>
    <font>
      <b/>
      <sz val="10"/>
      <name val="Calibri"/>
    </font>
    <font>
      <b/>
      <sz val="12"/>
      <name val="Calibri"/>
    </font>
    <font>
      <sz val="12"/>
      <name val="Calibri"/>
    </font>
    <font>
      <b/>
      <sz val="14"/>
      <name val="Calibri"/>
    </font>
    <font>
      <b/>
      <sz val="16"/>
      <name val="Calibri"/>
    </font>
    <font>
      <b/>
      <sz val="24"/>
      <name val="Calibri"/>
    </font>
    <font>
      <b/>
      <sz val="12"/>
      <color theme="0" tint="-4.9989318521683403E-2"/>
      <name val="Calibri"/>
    </font>
    <font>
      <b/>
      <sz val="16"/>
      <color theme="0" tint="-4.9989318521683403E-2"/>
      <name val="Calibri"/>
    </font>
    <font>
      <sz val="16"/>
      <name val="Calibri"/>
    </font>
    <font>
      <b/>
      <sz val="28"/>
      <name val="Calibri"/>
    </font>
    <font>
      <sz val="28"/>
      <name val="Calibri"/>
    </font>
    <font>
      <b/>
      <sz val="36"/>
      <name val="Calibri"/>
    </font>
    <font>
      <b/>
      <u/>
      <sz val="12"/>
      <name val="Calibri"/>
    </font>
    <font>
      <b/>
      <sz val="18"/>
      <color theme="1"/>
      <name val="Calibri"/>
      <scheme val="minor"/>
    </font>
    <font>
      <sz val="10"/>
      <color indexed="81"/>
      <name val="Calibri"/>
    </font>
    <font>
      <sz val="8"/>
      <color indexed="81"/>
      <name val="Calibri"/>
    </font>
    <font>
      <b/>
      <sz val="18"/>
      <name val="Calibri"/>
    </font>
    <font>
      <sz val="12"/>
      <color rgb="FF000000"/>
      <name val="Calibri"/>
      <scheme val="minor"/>
    </font>
    <font>
      <sz val="12"/>
      <name val="Calibri"/>
      <family val="2"/>
      <charset val="238"/>
    </font>
    <font>
      <b/>
      <sz val="14"/>
      <name val="Calibri"/>
      <family val="2"/>
      <charset val="238"/>
    </font>
    <font>
      <sz val="14"/>
      <name val="Calibri"/>
      <family val="2"/>
      <charset val="238"/>
    </font>
    <font>
      <b/>
      <sz val="14"/>
      <name val="Calibri"/>
      <family val="2"/>
      <charset val="238"/>
      <scheme val="minor"/>
    </font>
    <font>
      <b/>
      <sz val="14"/>
      <name val="Arial"/>
      <family val="2"/>
    </font>
    <font>
      <b/>
      <u/>
      <sz val="14"/>
      <name val="Calibri"/>
      <family val="2"/>
      <charset val="238"/>
    </font>
    <font>
      <b/>
      <sz val="16"/>
      <name val="Calibri"/>
      <family val="2"/>
      <scheme val="minor"/>
    </font>
    <font>
      <b/>
      <sz val="14"/>
      <name val="Calibri"/>
      <family val="2"/>
      <scheme val="minor"/>
    </font>
    <font>
      <sz val="14"/>
      <color theme="4" tint="-0.249977111117893"/>
      <name val="Calibri"/>
      <family val="2"/>
      <scheme val="minor"/>
    </font>
    <font>
      <sz val="14"/>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indexed="17"/>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FFFFCC"/>
        <bgColor indexed="64"/>
      </patternFill>
    </fill>
    <fill>
      <patternFill patternType="solid">
        <fgColor rgb="FFFFC000"/>
        <bgColor indexed="64"/>
      </patternFill>
    </fill>
    <fill>
      <patternFill patternType="solid">
        <fgColor theme="1"/>
        <bgColor indexed="64"/>
      </patternFill>
    </fill>
    <fill>
      <patternFill patternType="solid">
        <fgColor theme="0" tint="-0.14996795556505021"/>
        <bgColor indexed="64"/>
      </patternFill>
    </fill>
  </fills>
  <borders count="124">
    <border>
      <left/>
      <right/>
      <top/>
      <bottom/>
      <diagonal/>
    </border>
    <border>
      <left/>
      <right/>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top/>
      <bottom style="thin">
        <color theme="0" tint="-0.499984740745262"/>
      </bottom>
      <diagonal/>
    </border>
    <border>
      <left/>
      <right style="thin">
        <color theme="0" tint="-0.499984740745262"/>
      </right>
      <top style="thick">
        <color theme="0" tint="-0.499984740745262"/>
      </top>
      <bottom style="thin">
        <color theme="0" tint="-0.499984740745262"/>
      </bottom>
      <diagonal/>
    </border>
    <border>
      <left style="thin">
        <color theme="0" tint="-0.499984740745262"/>
      </left>
      <right style="thin">
        <color theme="0" tint="-0.499984740745262"/>
      </right>
      <top style="thick">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499984740745262"/>
      </bottom>
      <diagonal/>
    </border>
    <border>
      <left/>
      <right/>
      <top style="medium">
        <color auto="1"/>
      </top>
      <bottom style="medium">
        <color auto="1"/>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right/>
      <top style="thin">
        <color auto="1"/>
      </top>
      <bottom style="thin">
        <color auto="1"/>
      </bottom>
      <diagonal/>
    </border>
    <border>
      <left/>
      <right style="thin">
        <color theme="0" tint="-0.499984740745262"/>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ck">
        <color theme="0" tint="-0.499984740745262"/>
      </top>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style="thin">
        <color theme="0" tint="-0.499984740745262"/>
      </bottom>
      <diagonal/>
    </border>
    <border>
      <left/>
      <right/>
      <top style="thick">
        <color theme="0" tint="-0.499984740745262"/>
      </top>
      <bottom style="thin">
        <color theme="0" tint="-0.499984740745262"/>
      </bottom>
      <diagonal/>
    </border>
    <border>
      <left style="thin">
        <color theme="0" tint="-0.499984740745262"/>
      </left>
      <right/>
      <top/>
      <bottom style="thick">
        <color theme="0" tint="-0.499984740745262"/>
      </bottom>
      <diagonal/>
    </border>
    <border>
      <left/>
      <right style="thin">
        <color theme="0" tint="-0.499984740745262"/>
      </right>
      <top/>
      <bottom style="thick">
        <color theme="0" tint="-0.499984740745262"/>
      </bottom>
      <diagonal/>
    </border>
    <border>
      <left style="thin">
        <color theme="0" tint="-0.499984740745262"/>
      </left>
      <right/>
      <top style="thin">
        <color theme="0" tint="-0.499984740745262"/>
      </top>
      <bottom style="thick">
        <color theme="0" tint="-0.499984740745262"/>
      </bottom>
      <diagonal/>
    </border>
    <border>
      <left/>
      <right/>
      <top style="thin">
        <color theme="0" tint="-0.499984740745262"/>
      </top>
      <bottom style="thick">
        <color theme="0" tint="-0.499984740745262"/>
      </bottom>
      <diagonal/>
    </border>
    <border>
      <left/>
      <right style="thin">
        <color theme="0" tint="-0.499984740745262"/>
      </right>
      <top style="thin">
        <color theme="0" tint="-0.499984740745262"/>
      </top>
      <bottom style="thick">
        <color theme="0" tint="-0.499984740745262"/>
      </bottom>
      <diagonal/>
    </border>
    <border>
      <left/>
      <right/>
      <top style="thin">
        <color theme="0" tint="-0.34998626667073579"/>
      </top>
      <bottom style="thin">
        <color theme="0" tint="-0.34998626667073579"/>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bottom style="thin">
        <color auto="1"/>
      </bottom>
      <diagonal/>
    </border>
    <border>
      <left style="thin">
        <color rgb="FF808080"/>
      </left>
      <right/>
      <top/>
      <bottom/>
      <diagonal/>
    </border>
    <border>
      <left style="thin">
        <color rgb="FF808080"/>
      </left>
      <right/>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thick">
        <color theme="0" tint="-0.499984740745262"/>
      </left>
      <right/>
      <top/>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right style="thick">
        <color theme="0" tint="-0.499984740745262"/>
      </right>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style="thin">
        <color theme="0" tint="-0.34998626667073579"/>
      </top>
      <bottom style="thin">
        <color theme="0" tint="-0.34998626667073579"/>
      </bottom>
      <diagonal/>
    </border>
    <border>
      <left/>
      <right style="medium">
        <color theme="0" tint="-0.499984740745262"/>
      </right>
      <top/>
      <bottom/>
      <diagonal/>
    </border>
    <border>
      <left style="medium">
        <color theme="0" tint="-0.499984740745262"/>
      </left>
      <right/>
      <top style="thin">
        <color theme="0" tint="-0.34998626667073579"/>
      </top>
      <bottom style="medium">
        <color theme="0" tint="-0.499984740745262"/>
      </bottom>
      <diagonal/>
    </border>
    <border>
      <left/>
      <right/>
      <top style="thin">
        <color theme="0" tint="-0.34998626667073579"/>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top/>
      <bottom/>
      <diagonal/>
    </border>
    <border>
      <left style="medium">
        <color theme="0" tint="-0.499984740745262"/>
      </left>
      <right/>
      <top/>
      <bottom style="medium">
        <color theme="0" tint="-0.499984740745262"/>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style="medium">
        <color theme="0" tint="-0.499984740745262"/>
      </right>
      <top style="thin">
        <color theme="0" tint="-0.34998626667073579"/>
      </top>
      <bottom style="thin">
        <color theme="0" tint="-0.34998626667073579"/>
      </bottom>
      <diagonal/>
    </border>
    <border>
      <left/>
      <right style="medium">
        <color theme="0" tint="-0.499984740745262"/>
      </right>
      <top style="thin">
        <color theme="0" tint="-0.34998626667073579"/>
      </top>
      <bottom style="medium">
        <color theme="0" tint="-0.499984740745262"/>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thin">
        <color auto="1"/>
      </left>
      <right style="thin">
        <color auto="1"/>
      </right>
      <top style="medium">
        <color theme="0" tint="-0.499984740745262"/>
      </top>
      <bottom style="medium">
        <color theme="0" tint="-0.499984740745262"/>
      </bottom>
      <diagonal/>
    </border>
    <border>
      <left style="medium">
        <color theme="0" tint="-0.499984740745262"/>
      </left>
      <right/>
      <top style="medium">
        <color theme="0" tint="-0.499984740745262"/>
      </top>
      <bottom style="thin">
        <color theme="0" tint="-0.24994659260841701"/>
      </bottom>
      <diagonal/>
    </border>
    <border>
      <left/>
      <right style="medium">
        <color theme="0" tint="-0.499984740745262"/>
      </right>
      <top style="medium">
        <color theme="0" tint="-0.499984740745262"/>
      </top>
      <bottom style="thin">
        <color theme="0" tint="-0.24994659260841701"/>
      </bottom>
      <diagonal/>
    </border>
    <border>
      <left style="medium">
        <color theme="0" tint="-0.499984740745262"/>
      </left>
      <right/>
      <top style="thin">
        <color theme="0" tint="-0.24994659260841701"/>
      </top>
      <bottom style="thin">
        <color theme="0" tint="-0.24994659260841701"/>
      </bottom>
      <diagonal/>
    </border>
    <border>
      <left/>
      <right style="medium">
        <color theme="0" tint="-0.499984740745262"/>
      </right>
      <top style="thin">
        <color theme="0" tint="-0.24994659260841701"/>
      </top>
      <bottom style="thin">
        <color theme="0" tint="-0.24994659260841701"/>
      </bottom>
      <diagonal/>
    </border>
    <border>
      <left style="medium">
        <color theme="0" tint="-0.499984740745262"/>
      </left>
      <right/>
      <top style="thin">
        <color theme="0" tint="-0.24994659260841701"/>
      </top>
      <bottom style="medium">
        <color theme="0" tint="-0.499984740745262"/>
      </bottom>
      <diagonal/>
    </border>
    <border>
      <left/>
      <right style="medium">
        <color theme="0" tint="-0.499984740745262"/>
      </right>
      <top style="thin">
        <color theme="0" tint="-0.24994659260841701"/>
      </top>
      <bottom style="medium">
        <color theme="0" tint="-0.499984740745262"/>
      </bottom>
      <diagonal/>
    </border>
    <border>
      <left/>
      <right/>
      <top style="medium">
        <color theme="0" tint="-0.499984740745262"/>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medium">
        <color theme="0" tint="-0.499984740745262"/>
      </bottom>
      <diagonal/>
    </border>
    <border>
      <left style="thick">
        <color theme="0" tint="-0.499984740745262"/>
      </left>
      <right style="thin">
        <color auto="1"/>
      </right>
      <top style="medium">
        <color theme="0" tint="-0.499984740745262"/>
      </top>
      <bottom style="medium">
        <color theme="0" tint="-0.499984740745262"/>
      </bottom>
      <diagonal/>
    </border>
    <border>
      <left style="thin">
        <color auto="1"/>
      </left>
      <right style="thick">
        <color theme="0" tint="-0.499984740745262"/>
      </right>
      <top style="medium">
        <color theme="0" tint="-0.499984740745262"/>
      </top>
      <bottom style="medium">
        <color theme="0" tint="-0.499984740745262"/>
      </bottom>
      <diagonal/>
    </border>
    <border>
      <left style="medium">
        <color theme="0" tint="-0.499984740745262"/>
      </left>
      <right style="medium">
        <color theme="1"/>
      </right>
      <top style="medium">
        <color theme="0" tint="-0.499984740745262"/>
      </top>
      <bottom style="medium">
        <color theme="1"/>
      </bottom>
      <diagonal/>
    </border>
    <border>
      <left style="medium">
        <color theme="0" tint="-0.499984740745262"/>
      </left>
      <right/>
      <top/>
      <bottom style="thick">
        <color theme="0" tint="-0.499984740745262"/>
      </bottom>
      <diagonal/>
    </border>
    <border>
      <left/>
      <right style="medium">
        <color theme="0" tint="-0.499984740745262"/>
      </right>
      <top/>
      <bottom style="thick">
        <color theme="0" tint="-0.499984740745262"/>
      </bottom>
      <diagonal/>
    </border>
    <border>
      <left/>
      <right style="medium">
        <color theme="0" tint="-0.499984740745262"/>
      </right>
      <top/>
      <bottom style="thin">
        <color auto="1"/>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style="thin">
        <color theme="0" tint="-0.499984740745262"/>
      </top>
      <bottom/>
      <diagonal/>
    </border>
    <border>
      <left/>
      <right style="thin">
        <color theme="0" tint="-0.499984740745262"/>
      </right>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right/>
      <top/>
      <bottom style="medium">
        <color theme="0" tint="-0.34998626667073579"/>
      </bottom>
      <diagonal/>
    </border>
    <border>
      <left style="thin">
        <color theme="0" tint="-0.499984740745262"/>
      </left>
      <right/>
      <top style="thin">
        <color auto="1"/>
      </top>
      <bottom style="thin">
        <color auto="1"/>
      </bottom>
      <diagonal/>
    </border>
    <border>
      <left/>
      <right/>
      <top style="medium">
        <color theme="0" tint="-0.499984740745262"/>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theme="0" tint="-0.499984740745262"/>
      </bottom>
      <diagonal/>
    </border>
    <border>
      <left/>
      <right/>
      <top/>
      <bottom style="thin">
        <color theme="0" tint="-0.14996795556505021"/>
      </bottom>
      <diagonal/>
    </border>
    <border>
      <left/>
      <right/>
      <top style="thin">
        <color theme="0" tint="-0.14996795556505021"/>
      </top>
      <bottom/>
      <diagonal/>
    </border>
    <border>
      <left/>
      <right/>
      <top style="thin">
        <color theme="0" tint="-0.14996795556505021"/>
      </top>
      <bottom style="thin">
        <color theme="0" tint="-0.499984740745262"/>
      </bottom>
      <diagonal/>
    </border>
  </borders>
  <cellStyleXfs count="52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8" fillId="0" borderId="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xf numFmtId="0" fontId="18" fillId="0" borderId="0"/>
    <xf numFmtId="164" fontId="18" fillId="0" borderId="0" applyFill="0" applyBorder="0" applyAlignment="0"/>
    <xf numFmtId="170" fontId="29" fillId="0" borderId="0" applyFill="0" applyBorder="0" applyAlignment="0"/>
    <xf numFmtId="171" fontId="29" fillId="0" borderId="0" applyFill="0" applyBorder="0" applyAlignment="0"/>
    <xf numFmtId="172" fontId="29" fillId="0" borderId="0" applyFill="0" applyBorder="0" applyAlignment="0"/>
    <xf numFmtId="173" fontId="29" fillId="0" borderId="0" applyFill="0" applyBorder="0" applyAlignment="0"/>
    <xf numFmtId="174" fontId="29" fillId="0" borderId="0" applyFill="0" applyBorder="0" applyAlignment="0"/>
    <xf numFmtId="175" fontId="29" fillId="0" borderId="0" applyFill="0" applyBorder="0" applyAlignment="0"/>
    <xf numFmtId="170" fontId="29" fillId="0" borderId="0" applyFill="0" applyBorder="0" applyAlignment="0"/>
    <xf numFmtId="176" fontId="30" fillId="0" borderId="0"/>
    <xf numFmtId="176" fontId="30" fillId="0" borderId="0"/>
    <xf numFmtId="176" fontId="30" fillId="0" borderId="0"/>
    <xf numFmtId="176" fontId="30" fillId="0" borderId="0"/>
    <xf numFmtId="176" fontId="30" fillId="0" borderId="0"/>
    <xf numFmtId="176" fontId="30" fillId="0" borderId="0"/>
    <xf numFmtId="176" fontId="30" fillId="0" borderId="0"/>
    <xf numFmtId="176" fontId="30" fillId="0" borderId="0"/>
    <xf numFmtId="174" fontId="18" fillId="0" borderId="0" applyFont="0" applyFill="0" applyBorder="0" applyAlignment="0" applyProtection="0"/>
    <xf numFmtId="170" fontId="18" fillId="0" borderId="0" applyFont="0" applyFill="0" applyBorder="0" applyAlignment="0" applyProtection="0"/>
    <xf numFmtId="14" fontId="29" fillId="0" borderId="0" applyFill="0" applyBorder="0" applyAlignment="0"/>
    <xf numFmtId="174" fontId="31" fillId="0" borderId="0" applyFill="0" applyBorder="0" applyAlignment="0"/>
    <xf numFmtId="170" fontId="31" fillId="0" borderId="0" applyFill="0" applyBorder="0" applyAlignment="0"/>
    <xf numFmtId="174" fontId="31" fillId="0" borderId="0" applyFill="0" applyBorder="0" applyAlignment="0"/>
    <xf numFmtId="175" fontId="31" fillId="0" borderId="0" applyFill="0" applyBorder="0" applyAlignment="0"/>
    <xf numFmtId="170" fontId="31" fillId="0" borderId="0" applyFill="0" applyBorder="0" applyAlignment="0"/>
    <xf numFmtId="0" fontId="21" fillId="0" borderId="11" applyNumberFormat="0" applyAlignment="0" applyProtection="0">
      <alignment horizontal="left" vertical="center"/>
    </xf>
    <xf numFmtId="0" fontId="21" fillId="0" borderId="15">
      <alignment horizontal="left" vertical="center"/>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174" fontId="34" fillId="0" borderId="0" applyFill="0" applyBorder="0" applyAlignment="0"/>
    <xf numFmtId="170" fontId="34" fillId="0" borderId="0" applyFill="0" applyBorder="0" applyAlignment="0"/>
    <xf numFmtId="174" fontId="34" fillId="0" borderId="0" applyFill="0" applyBorder="0" applyAlignment="0"/>
    <xf numFmtId="175" fontId="34" fillId="0" borderId="0" applyFill="0" applyBorder="0" applyAlignment="0"/>
    <xf numFmtId="170" fontId="34" fillId="0" borderId="0" applyFill="0" applyBorder="0" applyAlignment="0"/>
    <xf numFmtId="177" fontId="35" fillId="0" borderId="0"/>
    <xf numFmtId="0" fontId="36" fillId="0" borderId="0"/>
    <xf numFmtId="0" fontId="18" fillId="0" borderId="0"/>
    <xf numFmtId="0" fontId="37" fillId="0" borderId="0"/>
    <xf numFmtId="0" fontId="19" fillId="0" borderId="0"/>
    <xf numFmtId="0" fontId="18" fillId="0" borderId="0"/>
    <xf numFmtId="0" fontId="9" fillId="0" borderId="0"/>
    <xf numFmtId="0" fontId="18" fillId="0" borderId="0" applyNumberFormat="0" applyFont="0" applyFill="0" applyBorder="0" applyAlignment="0" applyProtection="0"/>
    <xf numFmtId="0" fontId="38" fillId="0" borderId="0"/>
    <xf numFmtId="0" fontId="18" fillId="0" borderId="0"/>
    <xf numFmtId="178" fontId="36" fillId="0" borderId="0"/>
    <xf numFmtId="173" fontId="18" fillId="0" borderId="0" applyFont="0" applyFill="0" applyBorder="0" applyAlignment="0" applyProtection="0"/>
    <xf numFmtId="17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4" fontId="39" fillId="0" borderId="0" applyFill="0" applyBorder="0" applyAlignment="0"/>
    <xf numFmtId="170" fontId="39" fillId="0" borderId="0" applyFill="0" applyBorder="0" applyAlignment="0"/>
    <xf numFmtId="174" fontId="39" fillId="0" borderId="0" applyFill="0" applyBorder="0" applyAlignment="0"/>
    <xf numFmtId="175" fontId="39" fillId="0" borderId="0" applyFill="0" applyBorder="0" applyAlignment="0"/>
    <xf numFmtId="170" fontId="39" fillId="0" borderId="0" applyFill="0" applyBorder="0" applyAlignment="0"/>
    <xf numFmtId="0" fontId="20" fillId="0" borderId="0" applyBorder="0"/>
    <xf numFmtId="0" fontId="29" fillId="0" borderId="0">
      <alignment vertical="top"/>
    </xf>
    <xf numFmtId="49" fontId="29" fillId="0" borderId="0" applyFill="0" applyBorder="0" applyAlignment="0"/>
    <xf numFmtId="180" fontId="29" fillId="0" borderId="0" applyFill="0" applyBorder="0" applyAlignment="0"/>
    <xf numFmtId="181" fontId="29" fillId="0" borderId="0" applyFill="0" applyBorder="0" applyAlignment="0"/>
    <xf numFmtId="165" fontId="18" fillId="0" borderId="0" applyFont="0" applyFill="0" applyBorder="0" applyAlignment="0" applyProtection="0"/>
    <xf numFmtId="166" fontId="18" fillId="0" borderId="0" applyFont="0" applyFill="0" applyBorder="0" applyAlignment="0" applyProtection="0"/>
    <xf numFmtId="0" fontId="40"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17">
    <xf numFmtId="0" fontId="0" fillId="0" borderId="0" xfId="0"/>
    <xf numFmtId="0" fontId="11" fillId="2" borderId="0" xfId="0" applyFont="1" applyFill="1" applyBorder="1" applyAlignment="1" applyProtection="1">
      <alignment vertical="center"/>
      <protection locked="0"/>
    </xf>
    <xf numFmtId="0" fontId="0" fillId="2" borderId="0" xfId="0" applyFill="1" applyBorder="1" applyProtection="1">
      <protection locked="0"/>
    </xf>
    <xf numFmtId="0" fontId="0" fillId="0" borderId="0" xfId="0" applyBorder="1" applyProtection="1">
      <protection locked="0"/>
    </xf>
    <xf numFmtId="0" fontId="6" fillId="2" borderId="0" xfId="0" applyFont="1" applyFill="1" applyBorder="1" applyAlignment="1" applyProtection="1">
      <alignment horizontal="right"/>
      <protection locked="0"/>
    </xf>
    <xf numFmtId="0" fontId="0" fillId="2" borderId="0" xfId="0" applyFill="1" applyBorder="1" applyAlignment="1" applyProtection="1">
      <alignment horizontal="left"/>
      <protection locked="0"/>
    </xf>
    <xf numFmtId="0" fontId="0" fillId="2" borderId="0" xfId="0" applyFill="1" applyBorder="1" applyAlignment="1" applyProtection="1">
      <protection locked="0"/>
    </xf>
    <xf numFmtId="0" fontId="0" fillId="2" borderId="0" xfId="0" applyFill="1" applyBorder="1" applyAlignment="1" applyProtection="1">
      <alignment horizontal="right"/>
      <protection locked="0"/>
    </xf>
    <xf numFmtId="0" fontId="6" fillId="0" borderId="0" xfId="0" applyFont="1" applyBorder="1" applyProtection="1">
      <protection locked="0"/>
    </xf>
    <xf numFmtId="0" fontId="0" fillId="2" borderId="0" xfId="0" applyFill="1" applyBorder="1" applyAlignment="1" applyProtection="1">
      <alignment vertical="center"/>
      <protection locked="0"/>
    </xf>
    <xf numFmtId="0" fontId="0" fillId="0" borderId="0" xfId="0" applyBorder="1" applyAlignment="1" applyProtection="1">
      <alignment vertical="center"/>
      <protection locked="0"/>
    </xf>
    <xf numFmtId="0" fontId="6" fillId="2" borderId="0" xfId="0" applyFont="1" applyFill="1" applyBorder="1" applyAlignment="1" applyProtection="1">
      <alignment vertical="center"/>
      <protection locked="0"/>
    </xf>
    <xf numFmtId="0" fontId="6" fillId="0" borderId="0" xfId="0" applyFont="1" applyBorder="1" applyAlignment="1" applyProtection="1">
      <alignment vertical="center"/>
      <protection locked="0"/>
    </xf>
    <xf numFmtId="0" fontId="6" fillId="2" borderId="0" xfId="0" applyFont="1" applyFill="1" applyBorder="1" applyProtection="1">
      <protection locked="0"/>
    </xf>
    <xf numFmtId="0" fontId="7" fillId="2" borderId="0" xfId="0" applyFont="1" applyFill="1" applyBorder="1" applyAlignment="1" applyProtection="1">
      <alignment horizontal="right"/>
      <protection locked="0"/>
    </xf>
    <xf numFmtId="0" fontId="6" fillId="2" borderId="2" xfId="0" applyFont="1" applyFill="1" applyBorder="1" applyAlignment="1" applyProtection="1">
      <alignment horizontal="center"/>
      <protection locked="0"/>
    </xf>
    <xf numFmtId="0" fontId="6" fillId="0" borderId="0" xfId="0" applyFont="1" applyFill="1" applyBorder="1" applyProtection="1">
      <protection locked="0"/>
    </xf>
    <xf numFmtId="0" fontId="0" fillId="0" borderId="0" xfId="0" applyFill="1" applyBorder="1" applyProtection="1">
      <protection locked="0"/>
    </xf>
    <xf numFmtId="0" fontId="6" fillId="0" borderId="0" xfId="0" applyFont="1" applyFill="1" applyBorder="1" applyAlignment="1" applyProtection="1">
      <alignment vertical="center"/>
      <protection locked="0"/>
    </xf>
    <xf numFmtId="0" fontId="15" fillId="0" borderId="0" xfId="0" applyFont="1" applyFill="1" applyBorder="1" applyAlignment="1" applyProtection="1">
      <alignment vertical="top" wrapText="1"/>
      <protection locked="0"/>
    </xf>
    <xf numFmtId="0" fontId="14" fillId="0" borderId="0" xfId="0" applyFont="1" applyFill="1" applyBorder="1" applyAlignment="1" applyProtection="1">
      <alignment wrapText="1"/>
      <protection locked="0"/>
    </xf>
    <xf numFmtId="0" fontId="0" fillId="0" borderId="0" xfId="0" applyProtection="1">
      <protection locked="0"/>
    </xf>
    <xf numFmtId="0" fontId="6" fillId="0" borderId="0" xfId="0" applyFont="1" applyProtection="1">
      <protection locked="0"/>
    </xf>
    <xf numFmtId="0" fontId="6" fillId="0" borderId="2" xfId="0" applyFont="1" applyBorder="1" applyProtection="1">
      <protection locked="0"/>
    </xf>
    <xf numFmtId="8" fontId="6" fillId="2" borderId="2" xfId="0" applyNumberFormat="1" applyFont="1" applyFill="1" applyBorder="1" applyProtection="1">
      <protection locked="0"/>
    </xf>
    <xf numFmtId="0" fontId="6" fillId="0" borderId="0" xfId="0" applyFont="1" applyFill="1" applyProtection="1">
      <protection locked="0"/>
    </xf>
    <xf numFmtId="0" fontId="0" fillId="0" borderId="0" xfId="0" applyFont="1" applyFill="1" applyBorder="1" applyAlignment="1" applyProtection="1">
      <alignment horizontal="left"/>
      <protection locked="0"/>
    </xf>
    <xf numFmtId="168" fontId="1" fillId="0" borderId="0" xfId="0" applyNumberFormat="1" applyFont="1" applyFill="1" applyBorder="1" applyAlignment="1" applyProtection="1">
      <alignment horizontal="left"/>
      <protection locked="0"/>
    </xf>
    <xf numFmtId="0" fontId="0" fillId="0" borderId="2" xfId="0" applyBorder="1" applyProtection="1">
      <protection locked="0"/>
    </xf>
    <xf numFmtId="0" fontId="6" fillId="0" borderId="2" xfId="0" applyFont="1" applyBorder="1" applyAlignment="1" applyProtection="1">
      <alignment vertical="center"/>
      <protection locked="0"/>
    </xf>
    <xf numFmtId="0" fontId="6" fillId="0" borderId="0" xfId="0" applyFont="1" applyAlignment="1" applyProtection="1">
      <alignment vertical="center"/>
      <protection locked="0"/>
    </xf>
    <xf numFmtId="0" fontId="1" fillId="2" borderId="0" xfId="0" applyFont="1" applyFill="1" applyBorder="1" applyProtection="1">
      <protection locked="0"/>
    </xf>
    <xf numFmtId="168" fontId="0" fillId="2" borderId="0" xfId="0" applyNumberFormat="1" applyFill="1" applyBorder="1" applyProtection="1">
      <protection locked="0"/>
    </xf>
    <xf numFmtId="0" fontId="6" fillId="0" borderId="3" xfId="0" applyFont="1" applyBorder="1" applyProtection="1">
      <protection locked="0"/>
    </xf>
    <xf numFmtId="0" fontId="6" fillId="2" borderId="3" xfId="0" applyFont="1" applyFill="1" applyBorder="1" applyAlignment="1" applyProtection="1">
      <alignment horizontal="center"/>
      <protection locked="0"/>
    </xf>
    <xf numFmtId="8" fontId="6" fillId="2" borderId="3" xfId="0" applyNumberFormat="1" applyFont="1" applyFill="1" applyBorder="1" applyProtection="1">
      <protection locked="0"/>
    </xf>
    <xf numFmtId="0" fontId="6" fillId="0" borderId="8" xfId="0" applyFont="1" applyBorder="1" applyProtection="1">
      <protection locked="0"/>
    </xf>
    <xf numFmtId="0" fontId="6" fillId="2" borderId="8" xfId="0" applyFont="1" applyFill="1" applyBorder="1" applyAlignment="1" applyProtection="1">
      <alignment horizontal="center"/>
      <protection locked="0"/>
    </xf>
    <xf numFmtId="8" fontId="6" fillId="2" borderId="8" xfId="0" applyNumberFormat="1" applyFont="1" applyFill="1" applyBorder="1" applyProtection="1">
      <protection locked="0"/>
    </xf>
    <xf numFmtId="0" fontId="6" fillId="0" borderId="9" xfId="0" applyFont="1" applyBorder="1" applyProtection="1">
      <protection locked="0"/>
    </xf>
    <xf numFmtId="0" fontId="6" fillId="2" borderId="9" xfId="0" applyFont="1" applyFill="1" applyBorder="1" applyAlignment="1" applyProtection="1">
      <alignment horizontal="center"/>
      <protection locked="0"/>
    </xf>
    <xf numFmtId="8" fontId="6" fillId="2" borderId="9" xfId="0" applyNumberFormat="1" applyFont="1" applyFill="1" applyBorder="1" applyProtection="1">
      <protection locked="0"/>
    </xf>
    <xf numFmtId="0" fontId="6" fillId="0" borderId="10" xfId="0" applyFont="1" applyBorder="1" applyProtection="1">
      <protection locked="0"/>
    </xf>
    <xf numFmtId="0" fontId="6" fillId="2" borderId="5" xfId="0" applyFont="1" applyFill="1" applyBorder="1" applyAlignment="1" applyProtection="1">
      <alignment horizontal="center"/>
      <protection locked="0"/>
    </xf>
    <xf numFmtId="0" fontId="9" fillId="2" borderId="2" xfId="0" applyFont="1" applyFill="1" applyBorder="1" applyAlignment="1" applyProtection="1">
      <alignment horizontal="center"/>
      <protection locked="0"/>
    </xf>
    <xf numFmtId="0" fontId="7" fillId="2" borderId="0" xfId="0" applyFont="1" applyFill="1" applyBorder="1" applyProtection="1">
      <protection locked="0"/>
    </xf>
    <xf numFmtId="0" fontId="6" fillId="2" borderId="0" xfId="0" applyFont="1" applyFill="1" applyProtection="1">
      <protection locked="0"/>
    </xf>
    <xf numFmtId="8" fontId="17" fillId="2" borderId="0" xfId="0" applyNumberFormat="1" applyFont="1" applyFill="1" applyBorder="1" applyAlignment="1" applyProtection="1">
      <alignment horizontal="right" vertical="center"/>
      <protection locked="0"/>
    </xf>
    <xf numFmtId="0" fontId="5" fillId="2" borderId="0" xfId="0" applyFont="1" applyFill="1" applyBorder="1" applyAlignment="1" applyProtection="1">
      <protection locked="0"/>
    </xf>
    <xf numFmtId="0" fontId="0" fillId="0" borderId="14" xfId="0" applyBorder="1" applyProtection="1">
      <protection locked="0"/>
    </xf>
    <xf numFmtId="0" fontId="45" fillId="0" borderId="0" xfId="67" applyFont="1" applyBorder="1"/>
    <xf numFmtId="0" fontId="19" fillId="0" borderId="0" xfId="67" applyFont="1" applyBorder="1" applyAlignment="1">
      <alignment wrapText="1" shrinkToFit="1"/>
    </xf>
    <xf numFmtId="0" fontId="45" fillId="0" borderId="0" xfId="67" applyFont="1" applyBorder="1" applyAlignment="1"/>
    <xf numFmtId="169" fontId="45" fillId="0" borderId="0" xfId="67" applyNumberFormat="1" applyFont="1" applyBorder="1" applyAlignment="1">
      <alignment horizontal="left"/>
    </xf>
    <xf numFmtId="44" fontId="45" fillId="0" borderId="0" xfId="70" applyFont="1" applyBorder="1" applyAlignment="1"/>
    <xf numFmtId="168" fontId="45" fillId="0" borderId="0" xfId="67" applyNumberFormat="1" applyFont="1" applyBorder="1" applyAlignment="1"/>
    <xf numFmtId="184" fontId="19" fillId="0" borderId="0" xfId="67" applyNumberFormat="1" applyFont="1" applyBorder="1" applyAlignment="1">
      <alignment wrapText="1" shrinkToFit="1"/>
    </xf>
    <xf numFmtId="10" fontId="45" fillId="0" borderId="0" xfId="67" applyNumberFormat="1" applyFont="1" applyBorder="1" applyAlignment="1">
      <alignment horizontal="left"/>
    </xf>
    <xf numFmtId="9" fontId="45" fillId="0" borderId="0" xfId="69" applyFont="1" applyBorder="1" applyAlignment="1"/>
    <xf numFmtId="10" fontId="45" fillId="0" borderId="0" xfId="67" applyNumberFormat="1" applyFont="1" applyBorder="1" applyAlignment="1"/>
    <xf numFmtId="10" fontId="46" fillId="0" borderId="0" xfId="67" applyNumberFormat="1" applyFont="1" applyBorder="1" applyAlignment="1">
      <alignment wrapText="1"/>
    </xf>
    <xf numFmtId="0" fontId="46" fillId="0" borderId="0" xfId="67" applyFont="1" applyBorder="1" applyAlignment="1">
      <alignment horizontal="left" wrapText="1"/>
    </xf>
    <xf numFmtId="0" fontId="45" fillId="0" borderId="0" xfId="67" applyFont="1" applyBorder="1" applyAlignment="1">
      <alignment horizontal="left"/>
    </xf>
    <xf numFmtId="9" fontId="45" fillId="0" borderId="0" xfId="67" applyNumberFormat="1" applyFont="1" applyBorder="1" applyAlignment="1">
      <alignment horizontal="left"/>
    </xf>
    <xf numFmtId="183" fontId="41" fillId="2" borderId="6" xfId="0" applyNumberFormat="1" applyFont="1" applyFill="1" applyBorder="1" applyAlignment="1" applyProtection="1">
      <alignment horizontal="left"/>
      <protection locked="0"/>
    </xf>
    <xf numFmtId="0" fontId="6" fillId="2" borderId="0" xfId="0" applyFont="1" applyFill="1" applyBorder="1" applyAlignment="1" applyProtection="1">
      <alignment horizontal="left"/>
      <protection locked="0"/>
    </xf>
    <xf numFmtId="0" fontId="6" fillId="0" borderId="18" xfId="0" applyFont="1" applyBorder="1" applyProtection="1">
      <protection locked="0"/>
    </xf>
    <xf numFmtId="0" fontId="6" fillId="2" borderId="10" xfId="0" applyFont="1" applyFill="1" applyBorder="1" applyProtection="1">
      <protection locked="0"/>
    </xf>
    <xf numFmtId="0" fontId="6" fillId="2" borderId="5" xfId="0" applyFont="1" applyFill="1" applyBorder="1" applyProtection="1">
      <protection locked="0"/>
    </xf>
    <xf numFmtId="0" fontId="6" fillId="2" borderId="4" xfId="0" applyFont="1" applyFill="1" applyBorder="1" applyProtection="1">
      <protection locked="0"/>
    </xf>
    <xf numFmtId="0" fontId="7" fillId="2" borderId="14" xfId="0" applyFont="1" applyFill="1" applyBorder="1" applyProtection="1">
      <protection locked="0"/>
    </xf>
    <xf numFmtId="0" fontId="7" fillId="2" borderId="16" xfId="0" applyFont="1" applyFill="1" applyBorder="1" applyProtection="1">
      <protection locked="0"/>
    </xf>
    <xf numFmtId="0" fontId="7" fillId="2" borderId="12" xfId="0" applyFont="1" applyFill="1" applyBorder="1" applyProtection="1">
      <protection locked="0"/>
    </xf>
    <xf numFmtId="0" fontId="7" fillId="2" borderId="13" xfId="0" applyFont="1" applyFill="1" applyBorder="1" applyProtection="1">
      <protection locked="0"/>
    </xf>
    <xf numFmtId="0" fontId="7" fillId="2" borderId="17" xfId="0" applyFont="1" applyFill="1" applyBorder="1" applyProtection="1">
      <protection locked="0"/>
    </xf>
    <xf numFmtId="0" fontId="7" fillId="2" borderId="19" xfId="0" applyFont="1" applyFill="1" applyBorder="1" applyProtection="1">
      <protection locked="0"/>
    </xf>
    <xf numFmtId="0" fontId="14" fillId="2" borderId="14" xfId="0" applyFont="1" applyFill="1" applyBorder="1" applyAlignment="1" applyProtection="1">
      <alignment horizontal="left" vertical="top" wrapText="1"/>
      <protection locked="0"/>
    </xf>
    <xf numFmtId="0" fontId="14" fillId="2" borderId="16" xfId="0" applyFont="1" applyFill="1" applyBorder="1" applyAlignment="1" applyProtection="1">
      <alignment horizontal="left" vertical="top" wrapText="1"/>
      <protection locked="0"/>
    </xf>
    <xf numFmtId="0" fontId="6" fillId="2" borderId="18" xfId="0" applyFont="1" applyFill="1" applyBorder="1" applyProtection="1">
      <protection locked="0"/>
    </xf>
    <xf numFmtId="3" fontId="41" fillId="2" borderId="6" xfId="0" applyNumberFormat="1" applyFont="1" applyFill="1" applyBorder="1" applyAlignment="1" applyProtection="1">
      <alignment horizontal="center"/>
    </xf>
    <xf numFmtId="0" fontId="0" fillId="0" borderId="0" xfId="0" applyFill="1" applyProtection="1">
      <protection locked="0"/>
    </xf>
    <xf numFmtId="0" fontId="6" fillId="2" borderId="0" xfId="0" applyFont="1" applyFill="1" applyBorder="1" applyAlignment="1" applyProtection="1">
      <alignment horizontal="right"/>
    </xf>
    <xf numFmtId="0" fontId="5" fillId="6" borderId="0" xfId="0" applyFont="1" applyFill="1" applyBorder="1" applyAlignment="1" applyProtection="1">
      <alignment vertical="center"/>
      <protection locked="0"/>
    </xf>
    <xf numFmtId="0" fontId="0" fillId="6" borderId="0" xfId="0" applyFill="1" applyProtection="1">
      <protection locked="0"/>
    </xf>
    <xf numFmtId="0" fontId="0" fillId="0" borderId="0" xfId="0" applyFill="1" applyBorder="1" applyAlignment="1" applyProtection="1">
      <alignment vertical="center"/>
      <protection locked="0"/>
    </xf>
    <xf numFmtId="0" fontId="0" fillId="0" borderId="0" xfId="0" applyBorder="1" applyAlignment="1" applyProtection="1">
      <alignment vertical="top"/>
      <protection locked="0"/>
    </xf>
    <xf numFmtId="0" fontId="0" fillId="0" borderId="0" xfId="0" applyFill="1" applyBorder="1" applyAlignment="1" applyProtection="1">
      <alignment vertical="top"/>
      <protection locked="0"/>
    </xf>
    <xf numFmtId="0" fontId="12" fillId="0" borderId="0"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protection locked="0"/>
    </xf>
    <xf numFmtId="0" fontId="12" fillId="0" borderId="0" xfId="0" applyFont="1" applyFill="1" applyBorder="1" applyAlignment="1" applyProtection="1">
      <alignment horizontal="left" vertical="center" wrapText="1"/>
      <protection locked="0"/>
    </xf>
    <xf numFmtId="0" fontId="7" fillId="0" borderId="0" xfId="0" applyFont="1" applyFill="1" applyProtection="1">
      <protection locked="0"/>
    </xf>
    <xf numFmtId="0" fontId="12" fillId="0" borderId="0" xfId="0" applyFont="1" applyBorder="1" applyAlignment="1" applyProtection="1">
      <alignment horizontal="center" vertical="center" wrapText="1"/>
      <protection locked="0"/>
    </xf>
    <xf numFmtId="0" fontId="0" fillId="2" borderId="17" xfId="0" applyFill="1" applyBorder="1" applyAlignment="1" applyProtection="1">
      <alignment vertical="top"/>
    </xf>
    <xf numFmtId="0" fontId="0" fillId="2" borderId="18" xfId="0" applyFill="1" applyBorder="1" applyAlignment="1" applyProtection="1">
      <alignment vertical="center"/>
    </xf>
    <xf numFmtId="0" fontId="0" fillId="2" borderId="18" xfId="0" applyFill="1" applyBorder="1" applyAlignment="1" applyProtection="1">
      <alignment vertical="top"/>
    </xf>
    <xf numFmtId="0" fontId="0" fillId="2" borderId="19" xfId="0" applyFill="1" applyBorder="1" applyAlignment="1" applyProtection="1">
      <alignment vertical="top"/>
    </xf>
    <xf numFmtId="0" fontId="0" fillId="2" borderId="12" xfId="0" applyFill="1" applyBorder="1" applyAlignment="1" applyProtection="1">
      <alignment vertical="top"/>
    </xf>
    <xf numFmtId="0" fontId="0" fillId="2" borderId="6" xfId="0" applyFill="1" applyBorder="1" applyAlignment="1" applyProtection="1">
      <alignment vertical="top"/>
    </xf>
    <xf numFmtId="0" fontId="0" fillId="2" borderId="13" xfId="0" applyFill="1" applyBorder="1" applyAlignment="1" applyProtection="1">
      <alignment vertical="top"/>
    </xf>
    <xf numFmtId="0" fontId="0" fillId="2" borderId="0" xfId="0" applyFill="1" applyBorder="1" applyProtection="1"/>
    <xf numFmtId="0" fontId="0" fillId="6" borderId="0" xfId="0" applyFill="1" applyBorder="1" applyProtection="1">
      <protection locked="0"/>
    </xf>
    <xf numFmtId="0" fontId="45" fillId="0" borderId="0" xfId="67" applyFont="1" applyBorder="1" applyAlignment="1">
      <alignment vertical="center"/>
    </xf>
    <xf numFmtId="0" fontId="45" fillId="4" borderId="30" xfId="67" applyFont="1" applyFill="1" applyBorder="1" applyAlignment="1" applyProtection="1">
      <alignment horizontal="center" vertical="center"/>
      <protection hidden="1"/>
    </xf>
    <xf numFmtId="0" fontId="45" fillId="4" borderId="31" xfId="67" applyFont="1" applyFill="1" applyBorder="1" applyAlignment="1" applyProtection="1">
      <alignment horizontal="center" vertical="center"/>
      <protection hidden="1"/>
    </xf>
    <xf numFmtId="0" fontId="19" fillId="0" borderId="0" xfId="67" applyFont="1" applyFill="1" applyBorder="1" applyAlignment="1">
      <alignment vertical="center" wrapText="1" shrinkToFit="1"/>
    </xf>
    <xf numFmtId="0" fontId="45" fillId="4" borderId="32" xfId="67" applyFont="1" applyFill="1" applyBorder="1" applyAlignment="1" applyProtection="1">
      <alignment horizontal="center" vertical="center"/>
      <protection hidden="1"/>
    </xf>
    <xf numFmtId="0" fontId="45" fillId="4" borderId="33" xfId="67" applyFont="1" applyFill="1" applyBorder="1" applyAlignment="1" applyProtection="1">
      <alignment horizontal="center" vertical="center"/>
      <protection hidden="1"/>
    </xf>
    <xf numFmtId="0" fontId="45" fillId="4" borderId="34" xfId="67" applyFont="1" applyFill="1" applyBorder="1" applyAlignment="1" applyProtection="1">
      <alignment horizontal="center" vertical="center"/>
      <protection hidden="1"/>
    </xf>
    <xf numFmtId="0" fontId="45" fillId="4" borderId="35" xfId="67" applyFont="1" applyFill="1" applyBorder="1" applyAlignment="1" applyProtection="1">
      <alignment horizontal="center" vertical="center"/>
      <protection hidden="1"/>
    </xf>
    <xf numFmtId="0" fontId="45" fillId="0" borderId="0" xfId="67" applyFont="1" applyFill="1" applyBorder="1" applyAlignment="1">
      <alignment vertical="center"/>
    </xf>
    <xf numFmtId="0" fontId="5" fillId="2" borderId="0" xfId="0" applyFont="1" applyFill="1" applyBorder="1" applyAlignment="1" applyProtection="1">
      <alignment horizontal="left"/>
      <protection locked="0"/>
    </xf>
    <xf numFmtId="0" fontId="5" fillId="2" borderId="0" xfId="0" applyFont="1" applyFill="1" applyBorder="1" applyAlignment="1" applyProtection="1">
      <alignment horizontal="left"/>
      <protection locked="0"/>
    </xf>
    <xf numFmtId="168" fontId="6" fillId="2" borderId="0" xfId="0" applyNumberFormat="1" applyFont="1" applyFill="1" applyBorder="1" applyAlignment="1" applyProtection="1">
      <alignment vertical="center"/>
    </xf>
    <xf numFmtId="0" fontId="5" fillId="2" borderId="0" xfId="0" applyFont="1" applyFill="1" applyBorder="1" applyAlignment="1" applyProtection="1">
      <alignment horizontal="left"/>
      <protection locked="0"/>
    </xf>
    <xf numFmtId="0" fontId="7" fillId="2" borderId="14" xfId="0" applyFont="1" applyFill="1" applyBorder="1" applyProtection="1">
      <protection locked="0"/>
    </xf>
    <xf numFmtId="0" fontId="7" fillId="2" borderId="16" xfId="0" applyFont="1" applyFill="1" applyBorder="1" applyProtection="1">
      <protection locked="0"/>
    </xf>
    <xf numFmtId="0" fontId="42" fillId="0" borderId="0" xfId="67" applyFont="1" applyFill="1" applyBorder="1" applyAlignment="1" applyProtection="1">
      <alignment horizontal="right" vertical="center"/>
      <protection locked="0"/>
    </xf>
    <xf numFmtId="0" fontId="52" fillId="0" borderId="0" xfId="67" applyFont="1" applyFill="1" applyBorder="1" applyAlignment="1" applyProtection="1">
      <alignment horizontal="center" vertical="center"/>
      <protection locked="0"/>
    </xf>
    <xf numFmtId="1" fontId="43" fillId="0" borderId="0" xfId="68" applyNumberFormat="1" applyFont="1" applyFill="1" applyBorder="1" applyAlignment="1" applyProtection="1">
      <alignment horizontal="center" vertical="center"/>
      <protection locked="0"/>
    </xf>
    <xf numFmtId="14" fontId="43" fillId="0" borderId="0" xfId="68" applyNumberFormat="1" applyFont="1" applyFill="1" applyBorder="1" applyAlignment="1" applyProtection="1">
      <alignment horizontal="center" vertical="center"/>
      <protection locked="0"/>
    </xf>
    <xf numFmtId="0" fontId="0" fillId="0" borderId="0" xfId="0" applyBorder="1" applyProtection="1"/>
    <xf numFmtId="0" fontId="42" fillId="0" borderId="0" xfId="67" applyFont="1" applyFill="1" applyBorder="1" applyAlignment="1" applyProtection="1">
      <alignment horizontal="center" vertical="center"/>
      <protection locked="0"/>
    </xf>
    <xf numFmtId="3" fontId="43" fillId="0" borderId="0" xfId="68" applyNumberFormat="1" applyFont="1" applyFill="1" applyBorder="1" applyAlignment="1" applyProtection="1">
      <alignment horizontal="center" vertical="center"/>
      <protection locked="0"/>
    </xf>
    <xf numFmtId="0" fontId="43" fillId="0" borderId="0" xfId="67" applyNumberFormat="1" applyFont="1" applyFill="1" applyBorder="1" applyAlignment="1" applyProtection="1">
      <alignment horizontal="center" vertical="center"/>
      <protection locked="0"/>
    </xf>
    <xf numFmtId="0" fontId="11" fillId="0" borderId="0" xfId="0" applyFont="1" applyFill="1" applyBorder="1" applyAlignment="1" applyProtection="1">
      <alignment vertical="center"/>
    </xf>
    <xf numFmtId="0" fontId="0" fillId="0" borderId="0" xfId="0" applyFill="1" applyBorder="1" applyProtection="1"/>
    <xf numFmtId="0" fontId="45" fillId="4" borderId="0" xfId="67" applyFont="1" applyFill="1" applyBorder="1" applyAlignment="1" applyProtection="1">
      <alignment horizontal="center" vertical="center"/>
      <protection hidden="1"/>
    </xf>
    <xf numFmtId="0" fontId="53" fillId="0" borderId="0" xfId="0" applyFont="1" applyFill="1" applyBorder="1" applyAlignment="1">
      <alignment horizontal="center" vertical="center"/>
    </xf>
    <xf numFmtId="0" fontId="53" fillId="0" borderId="0" xfId="0" applyFont="1" applyFill="1" applyBorder="1" applyAlignment="1">
      <alignment vertical="center"/>
    </xf>
    <xf numFmtId="0" fontId="54" fillId="0" borderId="0" xfId="0" applyFont="1" applyFill="1" applyBorder="1"/>
    <xf numFmtId="0" fontId="45" fillId="0" borderId="0" xfId="67" applyFont="1" applyFill="1" applyBorder="1" applyAlignment="1" applyProtection="1">
      <alignment horizontal="center" vertical="center"/>
      <protection hidden="1"/>
    </xf>
    <xf numFmtId="0" fontId="0" fillId="2" borderId="0" xfId="0" applyFill="1"/>
    <xf numFmtId="0" fontId="1" fillId="2" borderId="0" xfId="67" applyFont="1" applyFill="1" applyBorder="1" applyAlignment="1" applyProtection="1">
      <alignment vertical="center"/>
      <protection locked="0"/>
    </xf>
    <xf numFmtId="0" fontId="0" fillId="2" borderId="0" xfId="0" applyFill="1" applyBorder="1"/>
    <xf numFmtId="0" fontId="1" fillId="2" borderId="0" xfId="67" applyNumberFormat="1" applyFont="1" applyFill="1" applyBorder="1" applyAlignment="1" applyProtection="1">
      <alignment vertical="center"/>
      <protection locked="0"/>
    </xf>
    <xf numFmtId="0" fontId="1" fillId="0" borderId="0" xfId="0" applyFont="1" applyFill="1" applyBorder="1" applyAlignment="1"/>
    <xf numFmtId="0" fontId="0" fillId="3" borderId="0" xfId="0" applyFill="1" applyBorder="1" applyAlignment="1">
      <alignment horizontal="center"/>
    </xf>
    <xf numFmtId="9" fontId="54" fillId="3" borderId="0" xfId="69" applyNumberFormat="1" applyFont="1" applyFill="1" applyBorder="1" applyAlignment="1" applyProtection="1">
      <alignment horizontal="center" vertical="center"/>
      <protection locked="0"/>
    </xf>
    <xf numFmtId="1" fontId="54" fillId="3" borderId="0" xfId="68" applyNumberFormat="1" applyFont="1" applyFill="1" applyBorder="1" applyAlignment="1" applyProtection="1">
      <alignment horizontal="center" vertical="center"/>
      <protection locked="0"/>
    </xf>
    <xf numFmtId="10" fontId="54" fillId="3" borderId="0" xfId="69" applyNumberFormat="1" applyFont="1" applyFill="1" applyBorder="1" applyAlignment="1" applyProtection="1">
      <alignment horizontal="center" vertical="center"/>
      <protection locked="0"/>
    </xf>
    <xf numFmtId="0" fontId="0" fillId="0" borderId="0" xfId="0" applyFill="1" applyBorder="1"/>
    <xf numFmtId="0" fontId="1" fillId="3" borderId="0" xfId="67" applyFont="1" applyFill="1" applyBorder="1" applyAlignment="1" applyProtection="1">
      <alignment horizontal="right" vertical="center"/>
      <protection locked="0"/>
    </xf>
    <xf numFmtId="0" fontId="56" fillId="3" borderId="0" xfId="67" applyFont="1" applyFill="1" applyBorder="1" applyAlignment="1" applyProtection="1">
      <alignment horizontal="right" vertical="center"/>
      <protection locked="0"/>
    </xf>
    <xf numFmtId="0" fontId="0" fillId="0" borderId="0" xfId="0" applyFill="1"/>
    <xf numFmtId="0" fontId="0" fillId="2" borderId="0" xfId="0" applyFill="1" applyAlignment="1">
      <alignment vertical="center"/>
    </xf>
    <xf numFmtId="0" fontId="0" fillId="0" borderId="0" xfId="0" applyAlignment="1">
      <alignment vertical="center"/>
    </xf>
    <xf numFmtId="0" fontId="0" fillId="2" borderId="0" xfId="0" applyFill="1" applyAlignment="1">
      <alignment vertical="center" wrapText="1"/>
    </xf>
    <xf numFmtId="0" fontId="0" fillId="0" borderId="0" xfId="0" applyAlignment="1">
      <alignment vertical="center" wrapText="1"/>
    </xf>
    <xf numFmtId="0" fontId="1" fillId="3" borderId="0" xfId="0" applyFont="1" applyFill="1" applyBorder="1" applyAlignment="1">
      <alignment vertical="center"/>
    </xf>
    <xf numFmtId="0" fontId="0" fillId="2" borderId="81" xfId="0" applyFill="1" applyBorder="1" applyAlignment="1">
      <alignment horizontal="center" vertical="center"/>
    </xf>
    <xf numFmtId="2" fontId="0" fillId="2" borderId="81" xfId="0" applyNumberFormat="1" applyFill="1" applyBorder="1" applyAlignment="1">
      <alignment horizontal="center" vertical="center"/>
    </xf>
    <xf numFmtId="49" fontId="0" fillId="2" borderId="81" xfId="0" applyNumberFormat="1" applyFill="1" applyBorder="1" applyAlignment="1">
      <alignment horizontal="center" vertical="center"/>
    </xf>
    <xf numFmtId="14" fontId="0" fillId="2" borderId="81" xfId="0" applyNumberFormat="1" applyFill="1" applyBorder="1" applyAlignment="1">
      <alignment horizontal="center" vertical="center"/>
    </xf>
    <xf numFmtId="167" fontId="0" fillId="2" borderId="81" xfId="0" applyNumberFormat="1" applyFill="1" applyBorder="1" applyAlignment="1">
      <alignment horizontal="center" vertical="center"/>
    </xf>
    <xf numFmtId="0" fontId="0" fillId="2" borderId="83" xfId="0" applyFill="1" applyBorder="1" applyAlignment="1">
      <alignment horizontal="center" vertical="center"/>
    </xf>
    <xf numFmtId="167" fontId="61" fillId="0" borderId="73" xfId="0" applyNumberFormat="1" applyFont="1" applyFill="1" applyBorder="1" applyAlignment="1">
      <alignment horizontal="center" vertical="center"/>
    </xf>
    <xf numFmtId="0" fontId="61" fillId="0" borderId="73" xfId="0" applyFont="1" applyFill="1" applyBorder="1" applyAlignment="1">
      <alignment horizontal="center" vertical="center"/>
    </xf>
    <xf numFmtId="167" fontId="61" fillId="0" borderId="40" xfId="0" applyNumberFormat="1" applyFont="1" applyFill="1" applyBorder="1" applyAlignment="1">
      <alignment horizontal="center" vertical="center"/>
    </xf>
    <xf numFmtId="9" fontId="62" fillId="0" borderId="73" xfId="69" applyNumberFormat="1" applyFont="1" applyFill="1" applyBorder="1" applyAlignment="1" applyProtection="1">
      <alignment horizontal="center" vertical="center"/>
      <protection locked="0"/>
    </xf>
    <xf numFmtId="1" fontId="62" fillId="0" borderId="73" xfId="68" applyNumberFormat="1" applyFont="1" applyFill="1" applyBorder="1" applyAlignment="1" applyProtection="1">
      <alignment horizontal="center" vertical="center"/>
      <protection locked="0"/>
    </xf>
    <xf numFmtId="10" fontId="62" fillId="0" borderId="40" xfId="69" applyNumberFormat="1" applyFont="1" applyFill="1" applyBorder="1" applyAlignment="1" applyProtection="1">
      <alignment horizontal="center" vertical="center"/>
      <protection locked="0"/>
    </xf>
    <xf numFmtId="9" fontId="62" fillId="0" borderId="71" xfId="69" applyNumberFormat="1" applyFont="1" applyFill="1" applyBorder="1" applyAlignment="1" applyProtection="1">
      <alignment horizontal="center" vertical="center"/>
      <protection locked="0"/>
    </xf>
    <xf numFmtId="10" fontId="62" fillId="0" borderId="73" xfId="69" applyNumberFormat="1" applyFont="1" applyFill="1" applyBorder="1" applyAlignment="1" applyProtection="1">
      <alignment horizontal="center" vertical="center"/>
      <protection locked="0"/>
    </xf>
    <xf numFmtId="167" fontId="61" fillId="0" borderId="40" xfId="0" applyNumberFormat="1" applyFont="1" applyFill="1" applyBorder="1" applyAlignment="1">
      <alignment vertical="center"/>
    </xf>
    <xf numFmtId="182" fontId="61" fillId="0" borderId="71" xfId="0" applyNumberFormat="1" applyFont="1" applyFill="1" applyBorder="1" applyAlignment="1">
      <alignment horizontal="center" vertical="center"/>
    </xf>
    <xf numFmtId="10" fontId="61" fillId="0" borderId="73" xfId="0" applyNumberFormat="1" applyFont="1" applyFill="1" applyBorder="1" applyAlignment="1">
      <alignment horizontal="center" vertical="center"/>
    </xf>
    <xf numFmtId="167" fontId="62" fillId="0" borderId="73" xfId="69" applyNumberFormat="1" applyFont="1" applyFill="1" applyBorder="1" applyAlignment="1" applyProtection="1">
      <alignment horizontal="center" vertical="center"/>
      <protection locked="0"/>
    </xf>
    <xf numFmtId="167" fontId="62" fillId="0" borderId="73" xfId="68" applyNumberFormat="1" applyFont="1" applyFill="1" applyBorder="1" applyAlignment="1" applyProtection="1">
      <alignment horizontal="center" vertical="center"/>
      <protection locked="0"/>
    </xf>
    <xf numFmtId="10" fontId="61" fillId="0" borderId="71" xfId="0" applyNumberFormat="1" applyFont="1" applyFill="1" applyBorder="1" applyAlignment="1">
      <alignment horizontal="center" vertical="center"/>
    </xf>
    <xf numFmtId="7" fontId="62" fillId="0" borderId="40" xfId="69" applyNumberFormat="1" applyFont="1" applyFill="1" applyBorder="1" applyAlignment="1" applyProtection="1">
      <alignment horizontal="center" vertical="center"/>
      <protection locked="0"/>
    </xf>
    <xf numFmtId="0" fontId="1" fillId="6" borderId="59" xfId="0" applyFont="1" applyFill="1" applyBorder="1" applyAlignment="1">
      <alignment horizontal="right" vertical="center"/>
    </xf>
    <xf numFmtId="0" fontId="1" fillId="6" borderId="60" xfId="0" applyFont="1" applyFill="1" applyBorder="1" applyAlignment="1">
      <alignment horizontal="right" vertical="center"/>
    </xf>
    <xf numFmtId="0" fontId="1" fillId="6" borderId="75" xfId="0" applyFont="1" applyFill="1" applyBorder="1" applyAlignment="1">
      <alignment horizontal="right" vertical="center"/>
    </xf>
    <xf numFmtId="0" fontId="1" fillId="6" borderId="58" xfId="0" applyFont="1" applyFill="1" applyBorder="1" applyAlignment="1">
      <alignment horizontal="right" vertical="center"/>
    </xf>
    <xf numFmtId="0" fontId="1" fillId="6" borderId="76" xfId="0" applyFont="1" applyFill="1" applyBorder="1" applyAlignment="1">
      <alignment horizontal="right" vertical="center"/>
    </xf>
    <xf numFmtId="0" fontId="1" fillId="6" borderId="75" xfId="67" applyFont="1" applyFill="1" applyBorder="1" applyAlignment="1" applyProtection="1">
      <alignment horizontal="right" vertical="center"/>
      <protection locked="0"/>
    </xf>
    <xf numFmtId="0" fontId="1" fillId="6" borderId="58" xfId="67" applyFont="1" applyFill="1" applyBorder="1" applyAlignment="1" applyProtection="1">
      <alignment horizontal="right" vertical="center"/>
      <protection locked="0"/>
    </xf>
    <xf numFmtId="0" fontId="55" fillId="6" borderId="58" xfId="67" applyFont="1" applyFill="1" applyBorder="1" applyAlignment="1" applyProtection="1">
      <alignment horizontal="right" vertical="center"/>
      <protection locked="0"/>
    </xf>
    <xf numFmtId="49" fontId="55" fillId="6" borderId="58" xfId="68" applyNumberFormat="1" applyFont="1" applyFill="1" applyBorder="1" applyAlignment="1" applyProtection="1">
      <alignment horizontal="right" vertical="center"/>
      <protection locked="0"/>
    </xf>
    <xf numFmtId="0" fontId="55" fillId="6" borderId="76" xfId="67" applyNumberFormat="1" applyFont="1" applyFill="1" applyBorder="1" applyAlignment="1" applyProtection="1">
      <alignment horizontal="right" vertical="center"/>
      <protection locked="0"/>
    </xf>
    <xf numFmtId="0" fontId="55" fillId="6" borderId="75" xfId="67" applyFont="1" applyFill="1" applyBorder="1" applyAlignment="1" applyProtection="1">
      <alignment horizontal="right" vertical="center"/>
      <protection locked="0"/>
    </xf>
    <xf numFmtId="0" fontId="56" fillId="6" borderId="58" xfId="67" applyFont="1" applyFill="1" applyBorder="1" applyAlignment="1" applyProtection="1">
      <alignment horizontal="right" vertical="center"/>
      <protection locked="0"/>
    </xf>
    <xf numFmtId="0" fontId="56" fillId="6" borderId="76" xfId="67" applyFont="1" applyFill="1" applyBorder="1" applyAlignment="1" applyProtection="1">
      <alignment horizontal="right" vertical="center"/>
      <protection locked="0"/>
    </xf>
    <xf numFmtId="0" fontId="1" fillId="6" borderId="78" xfId="0" applyFont="1" applyFill="1" applyBorder="1" applyAlignment="1">
      <alignment horizontal="left" vertical="center" wrapText="1"/>
    </xf>
    <xf numFmtId="0" fontId="1" fillId="6" borderId="80" xfId="0" applyFont="1" applyFill="1" applyBorder="1" applyAlignment="1">
      <alignment horizontal="left" vertical="center"/>
    </xf>
    <xf numFmtId="0" fontId="1" fillId="6" borderId="82" xfId="0" applyFont="1" applyFill="1" applyBorder="1" applyAlignment="1">
      <alignment horizontal="left" vertical="center"/>
    </xf>
    <xf numFmtId="0" fontId="1" fillId="6" borderId="80" xfId="0" applyFont="1" applyFill="1" applyBorder="1" applyAlignment="1">
      <alignment vertical="center"/>
    </xf>
    <xf numFmtId="0" fontId="1" fillId="6" borderId="82" xfId="0" applyFont="1" applyFill="1" applyBorder="1" applyAlignment="1">
      <alignment vertical="center"/>
    </xf>
    <xf numFmtId="0" fontId="0" fillId="3" borderId="42" xfId="0" applyFill="1" applyBorder="1"/>
    <xf numFmtId="0" fontId="0" fillId="3" borderId="41" xfId="0" applyFill="1" applyBorder="1"/>
    <xf numFmtId="0" fontId="0" fillId="3" borderId="41" xfId="0" applyFill="1" applyBorder="1" applyAlignment="1">
      <alignment horizontal="center"/>
    </xf>
    <xf numFmtId="0" fontId="0" fillId="3" borderId="43" xfId="0" applyFill="1" applyBorder="1"/>
    <xf numFmtId="0" fontId="0" fillId="3" borderId="44" xfId="0" applyFill="1" applyBorder="1"/>
    <xf numFmtId="0" fontId="0" fillId="3" borderId="45" xfId="0" applyFill="1" applyBorder="1"/>
    <xf numFmtId="0" fontId="0" fillId="3" borderId="0" xfId="0" applyFill="1" applyBorder="1" applyAlignment="1">
      <alignment vertical="center"/>
    </xf>
    <xf numFmtId="167" fontId="0" fillId="3" borderId="0" xfId="0" applyNumberFormat="1" applyFill="1" applyBorder="1" applyAlignment="1">
      <alignment vertical="center"/>
    </xf>
    <xf numFmtId="167" fontId="0" fillId="3" borderId="0" xfId="0" applyNumberFormat="1" applyFill="1" applyBorder="1" applyAlignment="1">
      <alignment horizontal="center" vertical="center"/>
    </xf>
    <xf numFmtId="0" fontId="1" fillId="3" borderId="0" xfId="0" applyFont="1" applyFill="1" applyBorder="1" applyAlignment="1">
      <alignment horizontal="center"/>
    </xf>
    <xf numFmtId="0" fontId="0" fillId="3" borderId="59" xfId="0" applyFill="1" applyBorder="1"/>
    <xf numFmtId="0" fontId="0" fillId="3" borderId="59" xfId="0" applyFill="1" applyBorder="1" applyAlignment="1">
      <alignment horizontal="center"/>
    </xf>
    <xf numFmtId="0" fontId="0" fillId="3" borderId="41" xfId="0" applyFill="1" applyBorder="1" applyAlignment="1">
      <alignment vertical="center"/>
    </xf>
    <xf numFmtId="0" fontId="0" fillId="3" borderId="45" xfId="0" applyFill="1" applyBorder="1" applyAlignment="1">
      <alignment vertical="center"/>
    </xf>
    <xf numFmtId="0" fontId="0" fillId="3" borderId="45" xfId="0" applyFill="1" applyBorder="1" applyAlignment="1">
      <alignment vertical="center" wrapText="1"/>
    </xf>
    <xf numFmtId="0" fontId="0" fillId="3" borderId="48" xfId="0" applyFill="1" applyBorder="1"/>
    <xf numFmtId="0" fontId="0" fillId="3" borderId="46" xfId="0" applyFill="1" applyBorder="1"/>
    <xf numFmtId="0" fontId="0" fillId="3" borderId="47" xfId="0" applyFill="1" applyBorder="1"/>
    <xf numFmtId="0" fontId="0" fillId="3" borderId="41" xfId="0" applyFill="1" applyBorder="1" applyAlignment="1">
      <alignment vertical="center" wrapText="1"/>
    </xf>
    <xf numFmtId="0" fontId="0" fillId="3" borderId="0" xfId="0" applyFill="1" applyBorder="1" applyAlignment="1">
      <alignment vertical="center" wrapText="1"/>
    </xf>
    <xf numFmtId="0" fontId="64" fillId="0" borderId="0" xfId="67" applyFont="1" applyFill="1" applyBorder="1" applyAlignment="1">
      <alignment vertical="center"/>
    </xf>
    <xf numFmtId="0" fontId="64" fillId="0" borderId="0" xfId="67" applyFont="1" applyBorder="1" applyAlignment="1">
      <alignment vertical="center"/>
    </xf>
    <xf numFmtId="0" fontId="65" fillId="0" borderId="0" xfId="67" applyFont="1" applyFill="1" applyBorder="1" applyAlignment="1">
      <alignment vertical="center" wrapText="1" shrinkToFit="1"/>
    </xf>
    <xf numFmtId="0" fontId="64" fillId="3" borderId="0" xfId="67" applyFont="1" applyFill="1" applyBorder="1" applyAlignment="1" applyProtection="1">
      <alignment horizontal="right" vertical="center"/>
      <protection locked="0"/>
    </xf>
    <xf numFmtId="168" fontId="64" fillId="3" borderId="0" xfId="67" applyNumberFormat="1" applyFont="1" applyFill="1" applyBorder="1" applyAlignment="1" applyProtection="1">
      <alignment horizontal="center" vertical="center"/>
      <protection locked="0"/>
    </xf>
    <xf numFmtId="168" fontId="64" fillId="3" borderId="0" xfId="67" applyNumberFormat="1" applyFont="1" applyFill="1" applyBorder="1" applyAlignment="1" applyProtection="1">
      <alignment horizontal="right" vertical="center"/>
      <protection locked="0"/>
    </xf>
    <xf numFmtId="0" fontId="64" fillId="3" borderId="0" xfId="67" applyFont="1" applyFill="1" applyBorder="1" applyAlignment="1">
      <alignment vertical="center"/>
    </xf>
    <xf numFmtId="44" fontId="45" fillId="0" borderId="0" xfId="70" applyFont="1" applyFill="1" applyBorder="1" applyAlignment="1"/>
    <xf numFmtId="0" fontId="45" fillId="0" borderId="0" xfId="67" applyFont="1" applyFill="1" applyBorder="1" applyAlignment="1"/>
    <xf numFmtId="10" fontId="46" fillId="0" borderId="0" xfId="67" applyNumberFormat="1" applyFont="1" applyFill="1" applyBorder="1" applyAlignment="1">
      <alignment wrapText="1"/>
    </xf>
    <xf numFmtId="0" fontId="65" fillId="6" borderId="59" xfId="67" applyFont="1" applyFill="1" applyBorder="1" applyAlignment="1" applyProtection="1">
      <alignment horizontal="left" vertical="center"/>
      <protection locked="0"/>
    </xf>
    <xf numFmtId="168" fontId="65" fillId="3" borderId="53" xfId="68" applyNumberFormat="1" applyFont="1" applyFill="1" applyBorder="1" applyAlignment="1" applyProtection="1">
      <alignment horizontal="right" vertical="center"/>
      <protection locked="0"/>
    </xf>
    <xf numFmtId="0" fontId="66" fillId="6" borderId="64" xfId="67" applyFont="1" applyFill="1" applyBorder="1" applyAlignment="1" applyProtection="1">
      <alignment horizontal="left" vertical="center"/>
      <protection locked="0"/>
    </xf>
    <xf numFmtId="0" fontId="63" fillId="6" borderId="65" xfId="67" applyFont="1" applyFill="1" applyBorder="1" applyAlignment="1" applyProtection="1">
      <alignment horizontal="center"/>
      <protection locked="0"/>
    </xf>
    <xf numFmtId="168" fontId="63" fillId="6" borderId="66" xfId="67" applyNumberFormat="1" applyFont="1" applyFill="1" applyBorder="1" applyAlignment="1" applyProtection="1">
      <alignment horizontal="center"/>
      <protection locked="0"/>
    </xf>
    <xf numFmtId="0" fontId="65" fillId="6" borderId="59" xfId="67" applyNumberFormat="1" applyFont="1" applyFill="1" applyBorder="1" applyAlignment="1" applyProtection="1">
      <alignment horizontal="left" vertical="center"/>
      <protection locked="0"/>
    </xf>
    <xf numFmtId="168" fontId="61" fillId="0" borderId="71" xfId="0" applyNumberFormat="1" applyFont="1" applyFill="1" applyBorder="1" applyAlignment="1">
      <alignment horizontal="center" vertical="center"/>
    </xf>
    <xf numFmtId="168" fontId="61" fillId="0" borderId="73" xfId="0" applyNumberFormat="1" applyFont="1" applyFill="1" applyBorder="1" applyAlignment="1">
      <alignment horizontal="center" vertical="center"/>
    </xf>
    <xf numFmtId="168" fontId="61" fillId="0" borderId="40" xfId="0" applyNumberFormat="1" applyFont="1" applyFill="1" applyBorder="1" applyAlignment="1">
      <alignment horizontal="center" vertical="center"/>
    </xf>
    <xf numFmtId="168" fontId="64" fillId="3" borderId="0" xfId="67" applyNumberFormat="1" applyFont="1" applyFill="1" applyBorder="1" applyAlignment="1" applyProtection="1">
      <alignment vertical="center"/>
      <protection locked="0"/>
    </xf>
    <xf numFmtId="168" fontId="65" fillId="3" borderId="0" xfId="68" applyNumberFormat="1" applyFont="1" applyFill="1" applyBorder="1" applyAlignment="1" applyProtection="1">
      <alignment horizontal="center" vertical="center"/>
      <protection locked="0"/>
    </xf>
    <xf numFmtId="168" fontId="64" fillId="3" borderId="0" xfId="68" applyNumberFormat="1" applyFont="1" applyFill="1" applyBorder="1" applyAlignment="1" applyProtection="1">
      <alignment horizontal="center" vertical="center"/>
      <protection locked="0"/>
    </xf>
    <xf numFmtId="1" fontId="65" fillId="3" borderId="0" xfId="68" applyNumberFormat="1" applyFont="1" applyFill="1" applyBorder="1" applyAlignment="1" applyProtection="1">
      <alignment horizontal="center" vertical="center"/>
      <protection locked="0"/>
    </xf>
    <xf numFmtId="0" fontId="66" fillId="6" borderId="64" xfId="67" applyFont="1" applyFill="1" applyBorder="1" applyAlignment="1">
      <alignment horizontal="left" vertical="center"/>
    </xf>
    <xf numFmtId="0" fontId="66" fillId="6" borderId="65" xfId="67" applyFont="1" applyFill="1" applyBorder="1" applyAlignment="1">
      <alignment vertical="center"/>
    </xf>
    <xf numFmtId="0" fontId="66" fillId="6" borderId="66" xfId="67" applyFont="1" applyFill="1" applyBorder="1" applyAlignment="1">
      <alignment vertical="center"/>
    </xf>
    <xf numFmtId="168" fontId="65" fillId="3" borderId="0" xfId="68" applyNumberFormat="1" applyFont="1" applyFill="1" applyBorder="1" applyAlignment="1" applyProtection="1">
      <alignment horizontal="center" vertical="center"/>
    </xf>
    <xf numFmtId="168" fontId="65" fillId="3" borderId="0" xfId="67" applyNumberFormat="1" applyFont="1" applyFill="1" applyBorder="1" applyAlignment="1">
      <alignment horizontal="center" vertical="center"/>
    </xf>
    <xf numFmtId="0" fontId="65" fillId="6" borderId="59" xfId="67" applyFont="1" applyFill="1" applyBorder="1" applyAlignment="1" applyProtection="1">
      <alignment vertical="center"/>
      <protection locked="0"/>
    </xf>
    <xf numFmtId="0" fontId="65" fillId="6" borderId="59" xfId="67" applyFont="1" applyFill="1" applyBorder="1" applyAlignment="1">
      <alignment vertical="center"/>
    </xf>
    <xf numFmtId="0" fontId="65" fillId="6" borderId="59" xfId="67" applyNumberFormat="1" applyFont="1" applyFill="1" applyBorder="1" applyAlignment="1" applyProtection="1">
      <alignment vertical="center"/>
      <protection locked="0"/>
    </xf>
    <xf numFmtId="0" fontId="65" fillId="6" borderId="60" xfId="67" applyFont="1" applyFill="1" applyBorder="1" applyAlignment="1" applyProtection="1">
      <alignment vertical="center"/>
      <protection locked="0"/>
    </xf>
    <xf numFmtId="0" fontId="64" fillId="6" borderId="59" xfId="67" applyFont="1" applyFill="1" applyBorder="1" applyAlignment="1">
      <alignment vertical="center"/>
    </xf>
    <xf numFmtId="0" fontId="64" fillId="3" borderId="53" xfId="67" applyFont="1" applyFill="1" applyBorder="1" applyAlignment="1">
      <alignment vertical="center"/>
    </xf>
    <xf numFmtId="0" fontId="64" fillId="0" borderId="0" xfId="67" applyFont="1" applyFill="1" applyBorder="1" applyAlignment="1">
      <alignment horizontal="center" vertical="center" wrapText="1" shrinkToFit="1"/>
    </xf>
    <xf numFmtId="168" fontId="64" fillId="3" borderId="53" xfId="68" applyNumberFormat="1" applyFont="1" applyFill="1" applyBorder="1" applyAlignment="1" applyProtection="1">
      <alignment horizontal="right" vertical="center"/>
    </xf>
    <xf numFmtId="0" fontId="65" fillId="6" borderId="90" xfId="67" applyFont="1" applyFill="1" applyBorder="1" applyAlignment="1" applyProtection="1">
      <alignment vertical="center"/>
      <protection locked="0"/>
    </xf>
    <xf numFmtId="0" fontId="45" fillId="0" borderId="0" xfId="67" applyFont="1" applyFill="1" applyBorder="1"/>
    <xf numFmtId="184" fontId="45" fillId="0" borderId="0" xfId="67" applyNumberFormat="1" applyFont="1" applyFill="1" applyBorder="1"/>
    <xf numFmtId="0" fontId="19" fillId="0" borderId="0" xfId="67" applyFont="1" applyFill="1" applyBorder="1" applyAlignment="1">
      <alignment wrapText="1" shrinkToFit="1"/>
    </xf>
    <xf numFmtId="0" fontId="58" fillId="0" borderId="0" xfId="0" applyFont="1" applyFill="1" applyBorder="1" applyAlignment="1">
      <alignment horizontal="center" vertical="center"/>
    </xf>
    <xf numFmtId="168" fontId="67" fillId="3" borderId="0" xfId="67" applyNumberFormat="1" applyFont="1" applyFill="1" applyBorder="1" applyAlignment="1" applyProtection="1">
      <alignment horizontal="center" vertical="center"/>
      <protection locked="0"/>
    </xf>
    <xf numFmtId="0" fontId="71" fillId="0" borderId="0" xfId="67" applyFont="1" applyFill="1" applyBorder="1" applyAlignment="1">
      <alignment vertical="center" wrapText="1" shrinkToFit="1"/>
    </xf>
    <xf numFmtId="0" fontId="67" fillId="0" borderId="0" xfId="67" applyFont="1" applyFill="1" applyBorder="1" applyAlignment="1">
      <alignment vertical="center"/>
    </xf>
    <xf numFmtId="0" fontId="67" fillId="0" borderId="0" xfId="67" applyFont="1" applyBorder="1" applyAlignment="1">
      <alignment vertical="center"/>
    </xf>
    <xf numFmtId="168" fontId="72" fillId="3" borderId="0" xfId="67" applyNumberFormat="1" applyFont="1" applyFill="1" applyBorder="1" applyAlignment="1" applyProtection="1">
      <alignment horizontal="center" vertical="center"/>
      <protection locked="0"/>
    </xf>
    <xf numFmtId="0" fontId="73" fillId="0" borderId="0" xfId="67" applyFont="1" applyFill="1" applyBorder="1" applyAlignment="1">
      <alignment vertical="center" wrapText="1" shrinkToFit="1"/>
    </xf>
    <xf numFmtId="0" fontId="72" fillId="0" borderId="0" xfId="67" applyFont="1" applyFill="1" applyBorder="1" applyAlignment="1">
      <alignment vertical="center"/>
    </xf>
    <xf numFmtId="0" fontId="72" fillId="0" borderId="0" xfId="67" applyFont="1" applyBorder="1" applyAlignment="1">
      <alignment vertical="center"/>
    </xf>
    <xf numFmtId="3" fontId="45" fillId="0" borderId="0" xfId="67" applyNumberFormat="1" applyFont="1" applyBorder="1" applyAlignment="1">
      <alignment vertical="center"/>
    </xf>
    <xf numFmtId="0" fontId="64" fillId="3" borderId="0" xfId="67" applyFont="1" applyFill="1" applyBorder="1" applyAlignment="1">
      <alignment horizontal="center" vertical="center"/>
    </xf>
    <xf numFmtId="168" fontId="64" fillId="3" borderId="0" xfId="67" applyNumberFormat="1" applyFont="1" applyFill="1" applyBorder="1" applyAlignment="1">
      <alignment vertical="center"/>
    </xf>
    <xf numFmtId="0" fontId="64" fillId="3" borderId="56" xfId="67" applyFont="1" applyFill="1" applyBorder="1" applyAlignment="1">
      <alignment vertical="center"/>
    </xf>
    <xf numFmtId="0" fontId="45" fillId="3" borderId="49" xfId="67" applyFont="1" applyFill="1" applyBorder="1" applyAlignment="1">
      <alignment vertical="center"/>
    </xf>
    <xf numFmtId="0" fontId="42" fillId="3" borderId="50" xfId="67" applyFont="1" applyFill="1" applyBorder="1" applyAlignment="1" applyProtection="1">
      <alignment horizontal="right" vertical="center"/>
      <protection locked="0"/>
    </xf>
    <xf numFmtId="0" fontId="43" fillId="3" borderId="50" xfId="67" applyNumberFormat="1" applyFont="1" applyFill="1" applyBorder="1" applyAlignment="1" applyProtection="1">
      <alignment horizontal="center" vertical="center"/>
      <protection locked="0"/>
    </xf>
    <xf numFmtId="14" fontId="43" fillId="3" borderId="50" xfId="68" applyNumberFormat="1" applyFont="1" applyFill="1" applyBorder="1" applyAlignment="1" applyProtection="1">
      <alignment horizontal="center" vertical="center"/>
      <protection locked="0"/>
    </xf>
    <xf numFmtId="0" fontId="45" fillId="3" borderId="50" xfId="67" applyFont="1" applyFill="1" applyBorder="1" applyAlignment="1">
      <alignment vertical="center"/>
    </xf>
    <xf numFmtId="0" fontId="45" fillId="3" borderId="51" xfId="67" applyFont="1" applyFill="1" applyBorder="1" applyAlignment="1">
      <alignment vertical="center"/>
    </xf>
    <xf numFmtId="0" fontId="64" fillId="3" borderId="59" xfId="67" applyFont="1" applyFill="1" applyBorder="1" applyAlignment="1">
      <alignment vertical="center"/>
    </xf>
    <xf numFmtId="0" fontId="65" fillId="3" borderId="53" xfId="67" applyFont="1" applyFill="1" applyBorder="1" applyAlignment="1">
      <alignment vertical="center" wrapText="1" shrinkToFit="1"/>
    </xf>
    <xf numFmtId="0" fontId="65" fillId="3" borderId="53" xfId="67" applyFont="1" applyFill="1" applyBorder="1" applyAlignment="1">
      <alignment vertical="center"/>
    </xf>
    <xf numFmtId="0" fontId="67" fillId="3" borderId="59" xfId="67" applyFont="1" applyFill="1" applyBorder="1" applyAlignment="1">
      <alignment vertical="center"/>
    </xf>
    <xf numFmtId="0" fontId="71" fillId="3" borderId="53" xfId="67" applyFont="1" applyFill="1" applyBorder="1" applyAlignment="1">
      <alignment vertical="center" wrapText="1" shrinkToFit="1"/>
    </xf>
    <xf numFmtId="0" fontId="72" fillId="3" borderId="59" xfId="67" applyFont="1" applyFill="1" applyBorder="1" applyAlignment="1">
      <alignment vertical="center"/>
    </xf>
    <xf numFmtId="0" fontId="73" fillId="3" borderId="53" xfId="67" applyFont="1" applyFill="1" applyBorder="1" applyAlignment="1">
      <alignment vertical="center" wrapText="1" shrinkToFit="1"/>
    </xf>
    <xf numFmtId="0" fontId="65" fillId="3" borderId="53" xfId="67" quotePrefix="1" applyFont="1" applyFill="1" applyBorder="1" applyAlignment="1">
      <alignment vertical="center" wrapText="1" shrinkToFit="1"/>
    </xf>
    <xf numFmtId="0" fontId="64" fillId="3" borderId="60" xfId="67" applyFont="1" applyFill="1" applyBorder="1" applyAlignment="1">
      <alignment vertical="center"/>
    </xf>
    <xf numFmtId="0" fontId="65" fillId="3" borderId="57" xfId="67" applyFont="1" applyFill="1" applyBorder="1" applyAlignment="1">
      <alignment vertical="center" wrapText="1" shrinkToFit="1"/>
    </xf>
    <xf numFmtId="0" fontId="6" fillId="2" borderId="59" xfId="0" applyFont="1" applyFill="1" applyBorder="1" applyAlignment="1" applyProtection="1">
      <alignment vertical="center"/>
      <protection locked="0"/>
    </xf>
    <xf numFmtId="182" fontId="6" fillId="2" borderId="53" xfId="0" applyNumberFormat="1" applyFont="1" applyFill="1" applyBorder="1" applyAlignment="1" applyProtection="1">
      <alignment vertical="center"/>
    </xf>
    <xf numFmtId="168" fontId="6" fillId="2" borderId="36" xfId="0" applyNumberFormat="1" applyFont="1" applyFill="1" applyBorder="1" applyAlignment="1" applyProtection="1">
      <alignment vertical="center"/>
    </xf>
    <xf numFmtId="182" fontId="6" fillId="2" borderId="92" xfId="0" applyNumberFormat="1" applyFont="1" applyFill="1" applyBorder="1" applyAlignment="1" applyProtection="1">
      <alignment vertical="center"/>
    </xf>
    <xf numFmtId="0" fontId="6" fillId="2" borderId="60" xfId="0" applyFont="1" applyFill="1" applyBorder="1" applyAlignment="1" applyProtection="1">
      <alignment vertical="center"/>
      <protection locked="0"/>
    </xf>
    <xf numFmtId="0" fontId="6" fillId="0" borderId="56" xfId="0" applyFont="1" applyBorder="1" applyAlignment="1" applyProtection="1">
      <alignment vertical="center"/>
      <protection locked="0"/>
    </xf>
    <xf numFmtId="0" fontId="7" fillId="2" borderId="56" xfId="0" applyFont="1" applyFill="1" applyBorder="1" applyAlignment="1" applyProtection="1">
      <alignment horizontal="right" vertical="center"/>
      <protection locked="0"/>
    </xf>
    <xf numFmtId="168" fontId="6" fillId="2" borderId="56" xfId="0" applyNumberFormat="1" applyFont="1" applyFill="1" applyBorder="1" applyAlignment="1" applyProtection="1">
      <alignment vertical="center"/>
    </xf>
    <xf numFmtId="182" fontId="6" fillId="2" borderId="57" xfId="0" applyNumberFormat="1" applyFont="1" applyFill="1" applyBorder="1" applyAlignment="1" applyProtection="1">
      <alignment vertical="center"/>
    </xf>
    <xf numFmtId="0" fontId="6" fillId="2" borderId="79" xfId="0" applyFont="1" applyFill="1" applyBorder="1" applyAlignment="1">
      <alignment horizontal="center" vertical="center" wrapText="1"/>
    </xf>
    <xf numFmtId="3" fontId="0" fillId="2" borderId="81" xfId="0" applyNumberFormat="1" applyFill="1" applyBorder="1" applyAlignment="1">
      <alignment horizontal="center" vertical="center"/>
    </xf>
    <xf numFmtId="168" fontId="0" fillId="2" borderId="81" xfId="0" applyNumberFormat="1" applyFill="1" applyBorder="1" applyAlignment="1">
      <alignment horizontal="center" vertical="center"/>
    </xf>
    <xf numFmtId="0" fontId="7" fillId="2" borderId="14" xfId="0" applyFont="1" applyFill="1" applyBorder="1" applyProtection="1">
      <protection locked="0"/>
    </xf>
    <xf numFmtId="0" fontId="7" fillId="2" borderId="16" xfId="0" applyFont="1" applyFill="1" applyBorder="1" applyProtection="1">
      <protection locked="0"/>
    </xf>
    <xf numFmtId="0" fontId="47" fillId="6" borderId="94" xfId="0" applyFont="1" applyFill="1" applyBorder="1" applyAlignment="1" applyProtection="1">
      <alignment horizontal="center"/>
      <protection locked="0"/>
    </xf>
    <xf numFmtId="0" fontId="47" fillId="6" borderId="97" xfId="0" applyFont="1" applyFill="1" applyBorder="1" applyAlignment="1" applyProtection="1">
      <alignment horizontal="center"/>
      <protection locked="0"/>
    </xf>
    <xf numFmtId="0" fontId="47" fillId="6" borderId="2" xfId="0" applyFont="1" applyFill="1" applyBorder="1" applyAlignment="1" applyProtection="1">
      <alignment horizontal="center"/>
      <protection locked="0"/>
    </xf>
    <xf numFmtId="0" fontId="47" fillId="6" borderId="98" xfId="0" applyFont="1" applyFill="1" applyBorder="1" applyAlignment="1" applyProtection="1">
      <alignment horizontal="center"/>
      <protection locked="0"/>
    </xf>
    <xf numFmtId="0" fontId="6" fillId="0" borderId="105" xfId="0" applyFont="1" applyBorder="1" applyProtection="1">
      <protection locked="0"/>
    </xf>
    <xf numFmtId="0" fontId="6" fillId="2" borderId="105" xfId="0" applyFont="1" applyFill="1" applyBorder="1" applyAlignment="1" applyProtection="1">
      <alignment horizontal="center"/>
      <protection locked="0"/>
    </xf>
    <xf numFmtId="8" fontId="6" fillId="2" borderId="105" xfId="0" applyNumberFormat="1" applyFont="1" applyFill="1" applyBorder="1" applyProtection="1">
      <protection locked="0"/>
    </xf>
    <xf numFmtId="0" fontId="7" fillId="6" borderId="65" xfId="0" applyFont="1" applyFill="1" applyBorder="1" applyAlignment="1" applyProtection="1">
      <alignment horizontal="center" vertical="center" wrapText="1"/>
      <protection locked="0"/>
    </xf>
    <xf numFmtId="168" fontId="7" fillId="6" borderId="66" xfId="0" applyNumberFormat="1" applyFont="1" applyFill="1" applyBorder="1" applyAlignment="1" applyProtection="1">
      <alignment horizontal="center" vertical="center" wrapText="1"/>
      <protection locked="0"/>
    </xf>
    <xf numFmtId="168" fontId="6" fillId="3" borderId="105" xfId="0" applyNumberFormat="1" applyFont="1" applyFill="1" applyBorder="1" applyProtection="1"/>
    <xf numFmtId="168" fontId="6" fillId="3" borderId="2" xfId="0" applyNumberFormat="1" applyFont="1" applyFill="1" applyBorder="1" applyProtection="1"/>
    <xf numFmtId="168" fontId="6" fillId="3" borderId="3" xfId="0" applyNumberFormat="1" applyFont="1" applyFill="1" applyBorder="1" applyProtection="1"/>
    <xf numFmtId="168" fontId="6" fillId="3" borderId="8" xfId="0" applyNumberFormat="1" applyFont="1" applyFill="1" applyBorder="1" applyProtection="1"/>
    <xf numFmtId="168" fontId="6" fillId="3" borderId="9" xfId="0" applyNumberFormat="1" applyFont="1" applyFill="1" applyBorder="1" applyProtection="1"/>
    <xf numFmtId="0" fontId="6" fillId="3" borderId="4" xfId="0" applyFont="1" applyFill="1" applyBorder="1" applyAlignment="1" applyProtection="1">
      <alignment horizontal="center"/>
    </xf>
    <xf numFmtId="0" fontId="7" fillId="6" borderId="65" xfId="0" applyFont="1" applyFill="1" applyBorder="1" applyAlignment="1" applyProtection="1">
      <alignment horizontal="center" vertical="center"/>
      <protection locked="0"/>
    </xf>
    <xf numFmtId="0" fontId="7" fillId="6" borderId="66" xfId="0" applyFont="1" applyFill="1" applyBorder="1" applyAlignment="1" applyProtection="1">
      <alignment horizontal="center" vertical="center"/>
      <protection locked="0"/>
    </xf>
    <xf numFmtId="182" fontId="7" fillId="6" borderId="66" xfId="0" applyNumberFormat="1" applyFont="1" applyFill="1" applyBorder="1" applyAlignment="1" applyProtection="1">
      <alignment horizontal="center" vertical="center"/>
      <protection locked="0"/>
    </xf>
    <xf numFmtId="0" fontId="61" fillId="0" borderId="0" xfId="0" applyFont="1" applyFill="1" applyBorder="1" applyAlignment="1">
      <alignment vertical="center"/>
    </xf>
    <xf numFmtId="0" fontId="0" fillId="0" borderId="0" xfId="0" applyFont="1" applyFill="1" applyBorder="1" applyAlignment="1" applyProtection="1">
      <alignment vertical="center"/>
      <protection locked="0"/>
    </xf>
    <xf numFmtId="168" fontId="17" fillId="0" borderId="0" xfId="0" applyNumberFormat="1" applyFont="1" applyFill="1" applyBorder="1" applyAlignment="1" applyProtection="1">
      <alignment vertical="center"/>
    </xf>
    <xf numFmtId="0" fontId="17" fillId="0" borderId="0" xfId="0" applyFont="1" applyFill="1" applyBorder="1" applyAlignment="1" applyProtection="1">
      <alignment horizontal="right" vertical="center"/>
      <protection locked="0"/>
    </xf>
    <xf numFmtId="168" fontId="0" fillId="0" borderId="0" xfId="0" applyNumberFormat="1" applyFont="1" applyFill="1" applyBorder="1" applyAlignment="1" applyProtection="1">
      <alignment horizontal="right" vertical="center"/>
    </xf>
    <xf numFmtId="0" fontId="69" fillId="0" borderId="0" xfId="67" applyFont="1" applyFill="1" applyBorder="1" applyAlignment="1" applyProtection="1">
      <alignment horizontal="center" vertical="center"/>
      <protection locked="0"/>
    </xf>
    <xf numFmtId="168" fontId="68" fillId="0" borderId="0" xfId="67" applyNumberFormat="1" applyFont="1" applyFill="1" applyBorder="1" applyAlignment="1" applyProtection="1">
      <alignment horizontal="center" vertical="center"/>
      <protection locked="0"/>
    </xf>
    <xf numFmtId="0" fontId="0" fillId="0" borderId="0" xfId="0" applyBorder="1" applyAlignment="1" applyProtection="1">
      <alignment horizontal="center"/>
      <protection locked="0"/>
    </xf>
    <xf numFmtId="0" fontId="66" fillId="0" borderId="0" xfId="67" applyFont="1" applyFill="1" applyBorder="1" applyAlignment="1" applyProtection="1">
      <alignment vertical="center"/>
      <protection locked="0"/>
    </xf>
    <xf numFmtId="168" fontId="41" fillId="3" borderId="51" xfId="0" applyNumberFormat="1" applyFont="1" applyFill="1" applyBorder="1" applyAlignment="1" applyProtection="1">
      <alignment vertical="center"/>
    </xf>
    <xf numFmtId="168" fontId="41" fillId="3" borderId="53" xfId="0" applyNumberFormat="1" applyFont="1" applyFill="1" applyBorder="1" applyAlignment="1" applyProtection="1">
      <alignment vertical="center"/>
    </xf>
    <xf numFmtId="168" fontId="41" fillId="3" borderId="53" xfId="0" applyNumberFormat="1" applyFont="1" applyFill="1" applyBorder="1" applyAlignment="1" applyProtection="1">
      <alignment horizontal="right" vertical="center"/>
    </xf>
    <xf numFmtId="168" fontId="41" fillId="3" borderId="57" xfId="0" applyNumberFormat="1" applyFont="1" applyFill="1" applyBorder="1" applyAlignment="1" applyProtection="1">
      <alignment horizontal="right" vertical="center"/>
    </xf>
    <xf numFmtId="0" fontId="0" fillId="2" borderId="0" xfId="0" applyFill="1" applyBorder="1" applyAlignment="1" applyProtection="1">
      <alignment horizontal="center"/>
      <protection locked="0"/>
    </xf>
    <xf numFmtId="0" fontId="0" fillId="2" borderId="0" xfId="0" applyFill="1" applyBorder="1" applyAlignment="1" applyProtection="1">
      <alignment horizontal="center"/>
    </xf>
    <xf numFmtId="0" fontId="0" fillId="2" borderId="18" xfId="0" applyFill="1" applyBorder="1" applyAlignment="1" applyProtection="1">
      <alignment horizontal="center" vertical="center"/>
    </xf>
    <xf numFmtId="0" fontId="0" fillId="2" borderId="6" xfId="0" applyFill="1" applyBorder="1" applyAlignment="1" applyProtection="1">
      <alignment horizontal="center" vertical="top"/>
    </xf>
    <xf numFmtId="0" fontId="6" fillId="0" borderId="2" xfId="0" applyFont="1" applyFill="1" applyBorder="1" applyAlignment="1" applyProtection="1">
      <alignment horizontal="center"/>
      <protection locked="0"/>
    </xf>
    <xf numFmtId="0" fontId="0" fillId="0" borderId="2" xfId="0" applyFill="1" applyBorder="1" applyAlignment="1" applyProtection="1">
      <alignment horizontal="center"/>
      <protection locked="0"/>
    </xf>
    <xf numFmtId="2" fontId="6" fillId="0" borderId="2" xfId="0" applyNumberFormat="1" applyFont="1" applyFill="1" applyBorder="1" applyAlignment="1" applyProtection="1">
      <alignment horizontal="center" vertical="center"/>
      <protection locked="0"/>
    </xf>
    <xf numFmtId="0" fontId="6" fillId="0" borderId="2" xfId="0" applyFont="1" applyBorder="1" applyAlignment="1" applyProtection="1">
      <alignment horizontal="center"/>
      <protection locked="0"/>
    </xf>
    <xf numFmtId="0" fontId="6" fillId="0" borderId="105" xfId="0" applyFont="1" applyBorder="1" applyAlignment="1" applyProtection="1">
      <alignment horizontal="center"/>
      <protection locked="0"/>
    </xf>
    <xf numFmtId="0" fontId="6" fillId="2" borderId="0"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9" xfId="0" applyFont="1" applyFill="1" applyBorder="1" applyAlignment="1" applyProtection="1">
      <alignment horizontal="center"/>
      <protection locked="0"/>
    </xf>
    <xf numFmtId="0" fontId="6" fillId="0" borderId="9" xfId="0" applyFont="1" applyBorder="1" applyAlignment="1" applyProtection="1">
      <alignment horizontal="center"/>
      <protection locked="0"/>
    </xf>
    <xf numFmtId="0" fontId="6" fillId="2" borderId="0" xfId="0" applyFont="1" applyFill="1" applyAlignment="1" applyProtection="1">
      <alignment horizontal="center"/>
      <protection locked="0"/>
    </xf>
    <xf numFmtId="0" fontId="6" fillId="0" borderId="18" xfId="0" applyFont="1" applyBorder="1" applyAlignment="1" applyProtection="1">
      <alignment horizontal="center"/>
      <protection locked="0"/>
    </xf>
    <xf numFmtId="8" fontId="6" fillId="3" borderId="2" xfId="0" applyNumberFormat="1" applyFont="1" applyFill="1" applyBorder="1" applyProtection="1">
      <protection locked="0"/>
    </xf>
    <xf numFmtId="0" fontId="1" fillId="0" borderId="0" xfId="0" applyFont="1" applyProtection="1">
      <protection locked="0"/>
    </xf>
    <xf numFmtId="0" fontId="0" fillId="0" borderId="0" xfId="0" applyAlignment="1" applyProtection="1">
      <alignment vertical="center"/>
      <protection locked="0"/>
    </xf>
    <xf numFmtId="1" fontId="0" fillId="0" borderId="0" xfId="0" applyNumberFormat="1" applyAlignment="1" applyProtection="1">
      <alignment vertical="center"/>
      <protection locked="0"/>
    </xf>
    <xf numFmtId="168" fontId="79" fillId="7" borderId="89" xfId="68" applyNumberFormat="1" applyFont="1" applyFill="1" applyBorder="1" applyAlignment="1" applyProtection="1">
      <alignment horizontal="center" vertical="center"/>
      <protection locked="0"/>
    </xf>
    <xf numFmtId="1" fontId="65" fillId="3" borderId="53" xfId="68" applyNumberFormat="1" applyFont="1" applyFill="1" applyBorder="1" applyAlignment="1" applyProtection="1">
      <alignment horizontal="right" vertical="center"/>
    </xf>
    <xf numFmtId="168" fontId="65" fillId="3" borderId="53" xfId="68" applyNumberFormat="1" applyFont="1" applyFill="1" applyBorder="1" applyAlignment="1" applyProtection="1">
      <alignment horizontal="right" vertical="center"/>
    </xf>
    <xf numFmtId="168" fontId="65" fillId="3" borderId="51" xfId="68" applyNumberFormat="1" applyFont="1" applyFill="1" applyBorder="1" applyAlignment="1" applyProtection="1">
      <alignment horizontal="right" vertical="center"/>
    </xf>
    <xf numFmtId="168" fontId="65" fillId="3" borderId="0" xfId="68" applyNumberFormat="1" applyFont="1" applyFill="1" applyBorder="1" applyAlignment="1" applyProtection="1">
      <alignment horizontal="right" vertical="center"/>
    </xf>
    <xf numFmtId="168" fontId="65" fillId="3" borderId="53" xfId="69" applyNumberFormat="1" applyFont="1" applyFill="1" applyBorder="1" applyAlignment="1" applyProtection="1">
      <alignment horizontal="right" vertical="center"/>
    </xf>
    <xf numFmtId="168" fontId="65" fillId="3" borderId="0" xfId="67" applyNumberFormat="1" applyFont="1" applyFill="1" applyBorder="1" applyAlignment="1" applyProtection="1">
      <alignment horizontal="right" vertical="center"/>
    </xf>
    <xf numFmtId="168" fontId="65" fillId="3" borderId="53" xfId="67" applyNumberFormat="1" applyFont="1" applyFill="1" applyBorder="1" applyAlignment="1" applyProtection="1">
      <alignment horizontal="right" vertical="center"/>
    </xf>
    <xf numFmtId="0" fontId="65" fillId="3" borderId="0" xfId="67" applyFont="1" applyFill="1" applyBorder="1" applyAlignment="1" applyProtection="1">
      <alignment horizontal="right" vertical="center"/>
    </xf>
    <xf numFmtId="168" fontId="65" fillId="3" borderId="53" xfId="70" applyNumberFormat="1" applyFont="1" applyFill="1" applyBorder="1" applyAlignment="1" applyProtection="1">
      <alignment horizontal="right" vertical="center"/>
    </xf>
    <xf numFmtId="0" fontId="65" fillId="3" borderId="0" xfId="67" applyNumberFormat="1" applyFont="1" applyFill="1" applyBorder="1" applyAlignment="1" applyProtection="1">
      <alignment horizontal="right" vertical="center"/>
    </xf>
    <xf numFmtId="9" fontId="65" fillId="3" borderId="0" xfId="69" applyNumberFormat="1" applyFont="1" applyFill="1" applyBorder="1" applyAlignment="1" applyProtection="1">
      <alignment horizontal="right" vertical="center"/>
    </xf>
    <xf numFmtId="1" fontId="65" fillId="3" borderId="0" xfId="69" applyNumberFormat="1" applyFont="1" applyFill="1" applyBorder="1" applyAlignment="1" applyProtection="1">
      <alignment horizontal="right" vertical="center"/>
    </xf>
    <xf numFmtId="168" fontId="64" fillId="3" borderId="53" xfId="67" applyNumberFormat="1" applyFont="1" applyFill="1" applyBorder="1" applyAlignment="1" applyProtection="1">
      <alignment horizontal="right" vertical="center"/>
    </xf>
    <xf numFmtId="168" fontId="75" fillId="3" borderId="53" xfId="67" applyNumberFormat="1" applyFont="1" applyFill="1" applyBorder="1" applyAlignment="1" applyProtection="1">
      <alignment horizontal="right" vertical="center"/>
    </xf>
    <xf numFmtId="0" fontId="64" fillId="3" borderId="0" xfId="67" applyFont="1" applyFill="1" applyBorder="1" applyAlignment="1" applyProtection="1">
      <alignment horizontal="right" vertical="center"/>
    </xf>
    <xf numFmtId="0" fontId="64" fillId="3" borderId="53" xfId="67" applyFont="1" applyFill="1" applyBorder="1" applyAlignment="1" applyProtection="1">
      <alignment horizontal="right" vertical="center"/>
    </xf>
    <xf numFmtId="0" fontId="65" fillId="3" borderId="56" xfId="67" applyFont="1" applyFill="1" applyBorder="1" applyAlignment="1" applyProtection="1">
      <alignment horizontal="right" vertical="center"/>
    </xf>
    <xf numFmtId="168" fontId="64" fillId="3" borderId="57" xfId="68" applyNumberFormat="1" applyFont="1" applyFill="1" applyBorder="1" applyAlignment="1" applyProtection="1">
      <alignment horizontal="right" vertical="center"/>
    </xf>
    <xf numFmtId="10" fontId="65" fillId="3" borderId="0" xfId="69" applyNumberFormat="1" applyFont="1" applyFill="1" applyBorder="1" applyAlignment="1" applyProtection="1">
      <alignment horizontal="right" vertical="center"/>
    </xf>
    <xf numFmtId="168" fontId="64" fillId="3" borderId="53" xfId="69" applyNumberFormat="1" applyFont="1" applyFill="1" applyBorder="1" applyAlignment="1" applyProtection="1">
      <alignment horizontal="right" vertical="center"/>
    </xf>
    <xf numFmtId="0" fontId="65" fillId="3" borderId="0" xfId="67" applyFont="1" applyFill="1" applyBorder="1" applyAlignment="1" applyProtection="1">
      <alignment horizontal="right" vertical="center" wrapText="1"/>
    </xf>
    <xf numFmtId="0" fontId="65" fillId="3" borderId="47" xfId="67" applyFont="1" applyFill="1" applyBorder="1" applyAlignment="1" applyProtection="1">
      <alignment horizontal="right" vertical="center" wrapText="1"/>
    </xf>
    <xf numFmtId="168" fontId="64" fillId="3" borderId="91" xfId="68" applyNumberFormat="1" applyFont="1" applyFill="1" applyBorder="1" applyAlignment="1" applyProtection="1">
      <alignment horizontal="right" vertical="center"/>
    </xf>
    <xf numFmtId="168" fontId="64" fillId="3" borderId="91" xfId="67" applyNumberFormat="1" applyFont="1" applyFill="1" applyBorder="1" applyAlignment="1" applyProtection="1">
      <alignment horizontal="right" vertical="center"/>
    </xf>
    <xf numFmtId="168" fontId="64" fillId="3" borderId="53" xfId="67" applyNumberFormat="1" applyFont="1" applyFill="1" applyBorder="1" applyAlignment="1" applyProtection="1">
      <alignment vertical="center"/>
    </xf>
    <xf numFmtId="168" fontId="64" fillId="3" borderId="57" xfId="67" applyNumberFormat="1" applyFont="1" applyFill="1" applyBorder="1" applyAlignment="1" applyProtection="1">
      <alignment vertical="center"/>
    </xf>
    <xf numFmtId="14" fontId="64" fillId="3" borderId="53" xfId="67" applyNumberFormat="1" applyFont="1" applyFill="1" applyBorder="1" applyAlignment="1" applyProtection="1">
      <alignment horizontal="right" vertical="center"/>
    </xf>
    <xf numFmtId="167" fontId="64" fillId="3" borderId="53" xfId="67" applyNumberFormat="1" applyFont="1" applyFill="1" applyBorder="1" applyAlignment="1" applyProtection="1">
      <alignment vertical="center"/>
    </xf>
    <xf numFmtId="10" fontId="64" fillId="3" borderId="53" xfId="69" applyNumberFormat="1" applyFont="1" applyFill="1" applyBorder="1" applyAlignment="1" applyProtection="1">
      <alignment horizontal="right" vertical="center"/>
    </xf>
    <xf numFmtId="10" fontId="64" fillId="3" borderId="57" xfId="69" applyNumberFormat="1" applyFont="1" applyFill="1" applyBorder="1" applyAlignment="1" applyProtection="1">
      <alignment horizontal="right" vertical="center"/>
    </xf>
    <xf numFmtId="0" fontId="6" fillId="2" borderId="0" xfId="0" applyFont="1" applyFill="1" applyBorder="1" applyAlignment="1" applyProtection="1">
      <alignment vertical="center"/>
    </xf>
    <xf numFmtId="0" fontId="6" fillId="2" borderId="53" xfId="0" applyFont="1" applyFill="1" applyBorder="1" applyAlignment="1" applyProtection="1">
      <alignment vertical="center"/>
    </xf>
    <xf numFmtId="0" fontId="6" fillId="2" borderId="36" xfId="0" applyFont="1" applyFill="1" applyBorder="1" applyAlignment="1" applyProtection="1">
      <alignment vertical="center"/>
    </xf>
    <xf numFmtId="168" fontId="6" fillId="2" borderId="92" xfId="0" applyNumberFormat="1" applyFont="1" applyFill="1" applyBorder="1" applyAlignment="1" applyProtection="1">
      <alignment vertical="center"/>
    </xf>
    <xf numFmtId="0" fontId="6" fillId="3" borderId="2" xfId="0" applyFont="1" applyFill="1" applyBorder="1" applyAlignment="1" applyProtection="1">
      <alignment horizontal="center"/>
    </xf>
    <xf numFmtId="3" fontId="6" fillId="3" borderId="2" xfId="0" applyNumberFormat="1" applyFont="1" applyFill="1" applyBorder="1" applyAlignment="1" applyProtection="1">
      <alignment horizontal="center"/>
    </xf>
    <xf numFmtId="2" fontId="6" fillId="3" borderId="2" xfId="0" applyNumberFormat="1" applyFont="1" applyFill="1" applyBorder="1" applyAlignment="1" applyProtection="1">
      <alignment horizontal="center"/>
    </xf>
    <xf numFmtId="2" fontId="6" fillId="3" borderId="98" xfId="0" applyNumberFormat="1" applyFont="1" applyFill="1" applyBorder="1" applyAlignment="1" applyProtection="1">
      <alignment horizontal="center"/>
    </xf>
    <xf numFmtId="49" fontId="6" fillId="3" borderId="99" xfId="0" applyNumberFormat="1" applyFont="1" applyFill="1" applyBorder="1" applyAlignment="1" applyProtection="1">
      <alignment horizontal="center"/>
    </xf>
    <xf numFmtId="168" fontId="6" fillId="3" borderId="99" xfId="0" applyNumberFormat="1" applyFont="1" applyFill="1" applyBorder="1" applyAlignment="1" applyProtection="1">
      <alignment horizontal="center"/>
    </xf>
    <xf numFmtId="14" fontId="6" fillId="3" borderId="99" xfId="0" applyNumberFormat="1" applyFont="1" applyFill="1" applyBorder="1" applyAlignment="1" applyProtection="1">
      <alignment horizontal="center"/>
    </xf>
    <xf numFmtId="0" fontId="6" fillId="3" borderId="102" xfId="0" applyFont="1" applyFill="1" applyBorder="1" applyAlignment="1" applyProtection="1">
      <alignment horizontal="center"/>
    </xf>
    <xf numFmtId="0" fontId="6" fillId="3" borderId="99" xfId="0" applyFont="1" applyFill="1" applyBorder="1" applyAlignment="1" applyProtection="1">
      <alignment horizontal="center"/>
    </xf>
    <xf numFmtId="0" fontId="0" fillId="0" borderId="0" xfId="0" applyFont="1" applyProtection="1"/>
    <xf numFmtId="0" fontId="17" fillId="6" borderId="106" xfId="0" applyFont="1" applyFill="1" applyBorder="1" applyProtection="1"/>
    <xf numFmtId="0" fontId="1" fillId="6" borderId="114" xfId="0" applyFont="1" applyFill="1" applyBorder="1" applyAlignment="1" applyProtection="1">
      <alignment horizontal="center"/>
    </xf>
    <xf numFmtId="0" fontId="0" fillId="0" borderId="0" xfId="0" applyProtection="1"/>
    <xf numFmtId="1" fontId="0" fillId="3" borderId="113" xfId="0" applyNumberFormat="1" applyFill="1" applyBorder="1" applyAlignment="1" applyProtection="1">
      <alignment horizontal="center" vertical="center"/>
    </xf>
    <xf numFmtId="168" fontId="0" fillId="3" borderId="115" xfId="0" applyNumberFormat="1" applyFill="1" applyBorder="1" applyAlignment="1" applyProtection="1">
      <alignment horizontal="center"/>
    </xf>
    <xf numFmtId="0" fontId="0" fillId="3" borderId="109" xfId="0" applyFill="1" applyBorder="1" applyAlignment="1" applyProtection="1">
      <alignment horizontal="center" vertical="center"/>
    </xf>
    <xf numFmtId="168" fontId="0" fillId="3" borderId="110" xfId="0" applyNumberFormat="1" applyFill="1" applyBorder="1" applyAlignment="1" applyProtection="1">
      <alignment horizontal="center"/>
    </xf>
    <xf numFmtId="168" fontId="0" fillId="3" borderId="110" xfId="0" applyNumberFormat="1" applyFill="1" applyBorder="1" applyAlignment="1" applyProtection="1">
      <alignment horizontal="center" vertical="center"/>
    </xf>
    <xf numFmtId="168" fontId="0" fillId="3" borderId="110" xfId="0" applyNumberFormat="1" applyFill="1" applyBorder="1" applyAlignment="1" applyProtection="1">
      <alignment horizontal="center" vertical="top"/>
    </xf>
    <xf numFmtId="0" fontId="0" fillId="3" borderId="109" xfId="0" applyFill="1" applyBorder="1" applyProtection="1"/>
    <xf numFmtId="0" fontId="0" fillId="3" borderId="110" xfId="0" applyFill="1" applyBorder="1" applyProtection="1"/>
    <xf numFmtId="0" fontId="0" fillId="3" borderId="111" xfId="0" applyFill="1" applyBorder="1" applyProtection="1"/>
    <xf numFmtId="0" fontId="0" fillId="3" borderId="112" xfId="0" applyFill="1" applyBorder="1" applyProtection="1"/>
    <xf numFmtId="0" fontId="41" fillId="2" borderId="6" xfId="0" applyFont="1" applyFill="1" applyBorder="1" applyAlignment="1" applyProtection="1">
      <alignment horizontal="center"/>
    </xf>
    <xf numFmtId="8" fontId="6" fillId="2" borderId="2" xfId="0" applyNumberFormat="1" applyFont="1" applyFill="1" applyBorder="1" applyAlignment="1" applyProtection="1">
      <alignment horizontal="right"/>
      <protection locked="0"/>
    </xf>
    <xf numFmtId="0" fontId="6" fillId="2" borderId="10" xfId="0" applyFont="1" applyFill="1" applyBorder="1" applyProtection="1">
      <protection locked="0"/>
    </xf>
    <xf numFmtId="0" fontId="6" fillId="2" borderId="5" xfId="0" applyFont="1" applyFill="1" applyBorder="1" applyProtection="1">
      <protection locked="0"/>
    </xf>
    <xf numFmtId="0" fontId="6" fillId="2" borderId="4" xfId="0" applyFont="1" applyFill="1" applyBorder="1" applyProtection="1">
      <protection locked="0"/>
    </xf>
    <xf numFmtId="1" fontId="6" fillId="3" borderId="99" xfId="0" applyNumberFormat="1" applyFont="1" applyFill="1" applyBorder="1" applyAlignment="1" applyProtection="1">
      <alignment horizontal="center"/>
    </xf>
    <xf numFmtId="0" fontId="15" fillId="5" borderId="117" xfId="0" applyFont="1" applyFill="1" applyBorder="1" applyAlignment="1" applyProtection="1">
      <alignment vertical="top" wrapText="1"/>
      <protection locked="0"/>
    </xf>
    <xf numFmtId="0" fontId="15" fillId="5" borderId="15" xfId="0" applyFont="1" applyFill="1" applyBorder="1" applyAlignment="1" applyProtection="1">
      <alignment vertical="top" wrapText="1"/>
      <protection locked="0"/>
    </xf>
    <xf numFmtId="0" fontId="45" fillId="3" borderId="59" xfId="67" applyFont="1" applyFill="1" applyBorder="1" applyAlignment="1">
      <alignment vertical="center"/>
    </xf>
    <xf numFmtId="0" fontId="42" fillId="3" borderId="0" xfId="67" applyFont="1" applyFill="1" applyBorder="1" applyAlignment="1" applyProtection="1">
      <alignment horizontal="right" vertical="center"/>
      <protection locked="0"/>
    </xf>
    <xf numFmtId="0" fontId="43" fillId="3" borderId="0" xfId="67" applyNumberFormat="1" applyFont="1" applyFill="1" applyBorder="1" applyAlignment="1" applyProtection="1">
      <alignment horizontal="center" vertical="center"/>
      <protection locked="0"/>
    </xf>
    <xf numFmtId="14" fontId="43" fillId="3" borderId="0" xfId="68" applyNumberFormat="1" applyFont="1" applyFill="1" applyBorder="1" applyAlignment="1" applyProtection="1">
      <alignment horizontal="center" vertical="center"/>
      <protection locked="0"/>
    </xf>
    <xf numFmtId="0" fontId="45" fillId="3" borderId="0" xfId="67" applyFont="1" applyFill="1" applyBorder="1" applyAlignment="1">
      <alignment vertical="center"/>
    </xf>
    <xf numFmtId="0" fontId="45" fillId="3" borderId="53" xfId="67" applyFont="1" applyFill="1" applyBorder="1" applyAlignment="1">
      <alignment vertical="center"/>
    </xf>
    <xf numFmtId="0" fontId="84" fillId="10" borderId="60" xfId="67" applyFont="1" applyFill="1" applyBorder="1" applyAlignment="1" applyProtection="1">
      <alignment horizontal="right" vertical="center"/>
      <protection locked="0"/>
    </xf>
    <xf numFmtId="0" fontId="82" fillId="10" borderId="49" xfId="0" applyFont="1" applyFill="1" applyBorder="1" applyAlignment="1">
      <alignment horizontal="right" vertical="top" wrapText="1"/>
    </xf>
    <xf numFmtId="0" fontId="82" fillId="3" borderId="51" xfId="0" applyFont="1" applyFill="1" applyBorder="1" applyAlignment="1">
      <alignment vertical="top" wrapText="1"/>
    </xf>
    <xf numFmtId="0" fontId="82" fillId="10" borderId="59" xfId="0" applyFont="1" applyFill="1" applyBorder="1" applyAlignment="1">
      <alignment horizontal="right" vertical="top" wrapText="1"/>
    </xf>
    <xf numFmtId="0" fontId="85" fillId="3" borderId="53" xfId="67" applyFont="1" applyFill="1" applyBorder="1" applyAlignment="1">
      <alignment vertical="center"/>
    </xf>
    <xf numFmtId="0" fontId="86" fillId="10" borderId="59" xfId="0" applyFont="1" applyFill="1" applyBorder="1" applyAlignment="1">
      <alignment horizontal="right" vertical="top" wrapText="1"/>
    </xf>
    <xf numFmtId="0" fontId="83" fillId="3" borderId="0" xfId="0" applyFont="1" applyFill="1" applyBorder="1" applyAlignment="1">
      <alignment horizontal="center" vertical="top" wrapText="1"/>
    </xf>
    <xf numFmtId="0" fontId="83" fillId="3" borderId="53" xfId="0" applyFont="1" applyFill="1" applyBorder="1" applyAlignment="1">
      <alignment vertical="top" wrapText="1"/>
    </xf>
    <xf numFmtId="0" fontId="85" fillId="10" borderId="60" xfId="67" applyFont="1" applyFill="1" applyBorder="1" applyAlignment="1">
      <alignment vertical="center"/>
    </xf>
    <xf numFmtId="0" fontId="85" fillId="3" borderId="57" xfId="67" applyFont="1" applyFill="1" applyBorder="1" applyAlignment="1">
      <alignment vertical="center"/>
    </xf>
    <xf numFmtId="49" fontId="83" fillId="3" borderId="0" xfId="0" applyNumberFormat="1" applyFont="1" applyFill="1" applyBorder="1" applyAlignment="1">
      <alignment horizontal="center" vertical="top" shrinkToFit="1"/>
    </xf>
    <xf numFmtId="0" fontId="83" fillId="3" borderId="50" xfId="0" applyFont="1" applyFill="1" applyBorder="1" applyAlignment="1">
      <alignment horizontal="center" vertical="top" wrapText="1"/>
    </xf>
    <xf numFmtId="0" fontId="85" fillId="3" borderId="56" xfId="67" applyFont="1" applyFill="1" applyBorder="1" applyAlignment="1">
      <alignment horizontal="center" vertical="center"/>
    </xf>
    <xf numFmtId="0" fontId="82" fillId="10" borderId="59" xfId="0" applyFont="1" applyFill="1" applyBorder="1" applyAlignment="1">
      <alignment vertical="top" wrapText="1"/>
    </xf>
    <xf numFmtId="0" fontId="82" fillId="10" borderId="49" xfId="0" applyFont="1" applyFill="1" applyBorder="1" applyAlignment="1">
      <alignment vertical="top" wrapText="1"/>
    </xf>
    <xf numFmtId="0" fontId="89" fillId="0" borderId="118" xfId="67" applyFont="1" applyFill="1" applyBorder="1" applyAlignment="1" applyProtection="1">
      <alignment horizontal="left"/>
      <protection locked="0"/>
    </xf>
    <xf numFmtId="0" fontId="89" fillId="0" borderId="119" xfId="67" applyFont="1" applyFill="1" applyBorder="1" applyAlignment="1" applyProtection="1">
      <alignment horizontal="left"/>
      <protection locked="0"/>
    </xf>
    <xf numFmtId="0" fontId="89" fillId="0" borderId="120" xfId="67" applyFont="1" applyFill="1" applyBorder="1" applyAlignment="1" applyProtection="1">
      <alignment horizontal="left"/>
      <protection locked="0"/>
    </xf>
    <xf numFmtId="0" fontId="89" fillId="0" borderId="118" xfId="67" applyFont="1" applyFill="1" applyBorder="1" applyAlignment="1" applyProtection="1">
      <alignment horizontal="left" vertical="center"/>
      <protection locked="0"/>
    </xf>
    <xf numFmtId="0" fontId="89" fillId="0" borderId="119" xfId="67" applyFont="1" applyFill="1" applyBorder="1" applyAlignment="1" applyProtection="1">
      <alignment horizontal="left" vertical="center"/>
      <protection locked="0"/>
    </xf>
    <xf numFmtId="0" fontId="89" fillId="0" borderId="120" xfId="67" applyNumberFormat="1" applyFont="1" applyFill="1" applyBorder="1" applyAlignment="1" applyProtection="1">
      <alignment horizontal="left" vertical="center"/>
      <protection locked="0"/>
    </xf>
    <xf numFmtId="0" fontId="89" fillId="0" borderId="121" xfId="67" applyFont="1" applyFill="1" applyBorder="1" applyAlignment="1" applyProtection="1">
      <alignment horizontal="left"/>
      <protection locked="0"/>
    </xf>
    <xf numFmtId="0" fontId="89" fillId="0" borderId="122" xfId="67" applyFont="1" applyFill="1" applyBorder="1" applyAlignment="1" applyProtection="1">
      <alignment horizontal="left"/>
      <protection locked="0"/>
    </xf>
    <xf numFmtId="0" fontId="89" fillId="0" borderId="121" xfId="67" applyFont="1" applyFill="1" applyBorder="1" applyAlignment="1">
      <alignment horizontal="left" vertical="center" wrapText="1"/>
    </xf>
    <xf numFmtId="0" fontId="89" fillId="0" borderId="120" xfId="67" applyFont="1" applyFill="1" applyBorder="1" applyAlignment="1">
      <alignment horizontal="left" vertical="center" wrapText="1"/>
    </xf>
    <xf numFmtId="0" fontId="89" fillId="0" borderId="118" xfId="67" applyFont="1" applyFill="1" applyBorder="1" applyAlignment="1">
      <alignment horizontal="left" vertical="center" wrapText="1"/>
    </xf>
    <xf numFmtId="0" fontId="89" fillId="0" borderId="119" xfId="67" applyFont="1" applyFill="1" applyBorder="1" applyAlignment="1">
      <alignment horizontal="left" vertical="center" wrapText="1"/>
    </xf>
    <xf numFmtId="0" fontId="88" fillId="3" borderId="49" xfId="67" applyFont="1" applyFill="1" applyBorder="1" applyAlignment="1">
      <alignment horizontal="left" vertical="center" wrapText="1"/>
    </xf>
    <xf numFmtId="0" fontId="90" fillId="3" borderId="50" xfId="67" applyFont="1" applyFill="1" applyBorder="1" applyAlignment="1">
      <alignment horizontal="left" vertical="center" wrapText="1"/>
    </xf>
    <xf numFmtId="0" fontId="90" fillId="3" borderId="51" xfId="67" applyFont="1" applyFill="1" applyBorder="1" applyAlignment="1">
      <alignment wrapText="1"/>
    </xf>
    <xf numFmtId="0" fontId="89" fillId="0" borderId="123" xfId="67" applyFont="1" applyFill="1" applyBorder="1" applyAlignment="1">
      <alignment horizontal="left" vertical="center" wrapText="1"/>
    </xf>
    <xf numFmtId="0" fontId="60" fillId="6" borderId="64" xfId="0" applyFont="1" applyFill="1" applyBorder="1" applyAlignment="1">
      <alignment horizontal="left" vertical="center"/>
    </xf>
    <xf numFmtId="0" fontId="60" fillId="6" borderId="66" xfId="0" applyFont="1" applyFill="1" applyBorder="1" applyAlignment="1">
      <alignment horizontal="left" vertical="center"/>
    </xf>
    <xf numFmtId="0" fontId="61" fillId="0" borderId="54" xfId="0" applyFont="1" applyFill="1" applyBorder="1" applyAlignment="1">
      <alignment horizontal="center" vertical="center"/>
    </xf>
    <xf numFmtId="0" fontId="61" fillId="0" borderId="55" xfId="0" applyFont="1" applyFill="1" applyBorder="1" applyAlignment="1">
      <alignment horizontal="center" vertical="center"/>
    </xf>
    <xf numFmtId="0" fontId="61" fillId="0" borderId="68" xfId="0" applyFont="1" applyFill="1" applyBorder="1" applyAlignment="1">
      <alignment horizontal="center" vertical="center"/>
    </xf>
    <xf numFmtId="0" fontId="61" fillId="0" borderId="39" xfId="0" applyFont="1" applyFill="1" applyBorder="1" applyAlignment="1">
      <alignment horizontal="center" vertical="center"/>
    </xf>
    <xf numFmtId="0" fontId="61" fillId="0" borderId="74" xfId="0" applyFont="1" applyFill="1" applyBorder="1" applyAlignment="1">
      <alignment horizontal="center" vertical="center"/>
    </xf>
    <xf numFmtId="0" fontId="61" fillId="0" borderId="40" xfId="0" applyFont="1" applyFill="1" applyBorder="1" applyAlignment="1">
      <alignment horizontal="center" vertical="center"/>
    </xf>
    <xf numFmtId="0" fontId="61" fillId="0" borderId="61" xfId="0" applyFont="1" applyFill="1" applyBorder="1" applyAlignment="1">
      <alignment horizontal="center" vertical="center"/>
    </xf>
    <xf numFmtId="0" fontId="61" fillId="0" borderId="62" xfId="0" applyFont="1" applyFill="1" applyBorder="1" applyAlignment="1">
      <alignment horizontal="center" vertical="center"/>
    </xf>
    <xf numFmtId="0" fontId="61" fillId="0" borderId="63" xfId="0" applyFont="1" applyFill="1" applyBorder="1" applyAlignment="1">
      <alignment horizontal="center" vertical="center"/>
    </xf>
    <xf numFmtId="0" fontId="61" fillId="0" borderId="52" xfId="0" applyFont="1" applyFill="1" applyBorder="1" applyAlignment="1">
      <alignment horizontal="center" vertical="center"/>
    </xf>
    <xf numFmtId="0" fontId="61" fillId="0" borderId="29" xfId="0" applyFont="1" applyFill="1" applyBorder="1" applyAlignment="1">
      <alignment horizontal="center" vertical="center"/>
    </xf>
    <xf numFmtId="0" fontId="61" fillId="0" borderId="67" xfId="0" applyFont="1" applyFill="1" applyBorder="1" applyAlignment="1">
      <alignment horizontal="center" vertical="center"/>
    </xf>
    <xf numFmtId="3" fontId="61" fillId="0" borderId="52" xfId="0" applyNumberFormat="1" applyFont="1" applyFill="1" applyBorder="1" applyAlignment="1">
      <alignment horizontal="center" vertical="center"/>
    </xf>
    <xf numFmtId="3" fontId="61" fillId="0" borderId="29" xfId="0" applyNumberFormat="1" applyFont="1" applyFill="1" applyBorder="1" applyAlignment="1">
      <alignment horizontal="center" vertical="center"/>
    </xf>
    <xf numFmtId="3" fontId="61" fillId="0" borderId="67" xfId="0" applyNumberFormat="1" applyFont="1" applyFill="1" applyBorder="1" applyAlignment="1">
      <alignment horizontal="center" vertical="center"/>
    </xf>
    <xf numFmtId="0" fontId="60" fillId="6" borderId="65" xfId="0" applyFont="1" applyFill="1" applyBorder="1" applyAlignment="1">
      <alignment horizontal="left" vertical="center"/>
    </xf>
    <xf numFmtId="0" fontId="41" fillId="0" borderId="49" xfId="0" applyFont="1" applyFill="1" applyBorder="1" applyAlignment="1">
      <alignment horizontal="center" vertical="center"/>
    </xf>
    <xf numFmtId="0" fontId="41" fillId="0" borderId="50" xfId="0" applyFont="1" applyFill="1" applyBorder="1" applyAlignment="1">
      <alignment horizontal="center" vertical="center"/>
    </xf>
    <xf numFmtId="0" fontId="41" fillId="0" borderId="51" xfId="0" applyFont="1" applyFill="1" applyBorder="1" applyAlignment="1">
      <alignment horizontal="center" vertical="center"/>
    </xf>
    <xf numFmtId="0" fontId="41" fillId="0" borderId="59" xfId="0" applyFont="1" applyFill="1" applyBorder="1" applyAlignment="1">
      <alignment horizontal="center" vertical="center"/>
    </xf>
    <xf numFmtId="0" fontId="41" fillId="0" borderId="0" xfId="0" applyFont="1" applyFill="1" applyBorder="1" applyAlignment="1">
      <alignment horizontal="center" vertical="center"/>
    </xf>
    <xf numFmtId="0" fontId="41" fillId="0" borderId="53" xfId="0" applyFont="1" applyFill="1" applyBorder="1" applyAlignment="1">
      <alignment horizontal="center" vertical="center"/>
    </xf>
    <xf numFmtId="0" fontId="41" fillId="0" borderId="60" xfId="0" applyFont="1" applyFill="1" applyBorder="1" applyAlignment="1">
      <alignment horizontal="center" vertical="center"/>
    </xf>
    <xf numFmtId="0" fontId="41" fillId="0" borderId="56" xfId="0" applyFont="1" applyFill="1" applyBorder="1" applyAlignment="1">
      <alignment horizontal="center" vertical="center"/>
    </xf>
    <xf numFmtId="0" fontId="41" fillId="0" borderId="57" xfId="0" applyFont="1" applyFill="1" applyBorder="1" applyAlignment="1">
      <alignment horizontal="center" vertical="center"/>
    </xf>
    <xf numFmtId="0" fontId="51" fillId="2" borderId="0" xfId="67" applyFont="1" applyFill="1" applyBorder="1" applyAlignment="1" applyProtection="1">
      <alignment horizontal="center" vertical="center"/>
      <protection locked="0"/>
    </xf>
    <xf numFmtId="0" fontId="0" fillId="0" borderId="0" xfId="0" applyFill="1" applyBorder="1" applyAlignment="1">
      <alignment horizontal="center" vertical="center" wrapText="1"/>
    </xf>
    <xf numFmtId="0" fontId="1" fillId="6" borderId="59" xfId="67" applyFont="1" applyFill="1" applyBorder="1" applyAlignment="1" applyProtection="1">
      <alignment horizontal="right" vertical="center"/>
      <protection locked="0"/>
    </xf>
    <xf numFmtId="0" fontId="1" fillId="6" borderId="53" xfId="67" applyFont="1" applyFill="1" applyBorder="1" applyAlignment="1" applyProtection="1">
      <alignment horizontal="right" vertical="center"/>
      <protection locked="0"/>
    </xf>
    <xf numFmtId="0" fontId="1" fillId="6" borderId="60" xfId="67" applyFont="1" applyFill="1" applyBorder="1" applyAlignment="1" applyProtection="1">
      <alignment horizontal="right" vertical="center"/>
      <protection locked="0"/>
    </xf>
    <xf numFmtId="0" fontId="1" fillId="6" borderId="57" xfId="67" applyFont="1" applyFill="1" applyBorder="1" applyAlignment="1" applyProtection="1">
      <alignment horizontal="right" vertical="center"/>
      <protection locked="0"/>
    </xf>
    <xf numFmtId="0" fontId="1" fillId="6" borderId="60" xfId="67" applyFont="1" applyFill="1" applyBorder="1" applyAlignment="1">
      <alignment horizontal="right" vertical="center"/>
    </xf>
    <xf numFmtId="0" fontId="1" fillId="6" borderId="57" xfId="67" applyFont="1" applyFill="1" applyBorder="1" applyAlignment="1">
      <alignment horizontal="right" vertical="center"/>
    </xf>
    <xf numFmtId="0" fontId="1" fillId="6" borderId="80" xfId="0" applyFont="1" applyFill="1" applyBorder="1" applyAlignment="1">
      <alignment vertical="center"/>
    </xf>
    <xf numFmtId="0" fontId="1" fillId="6" borderId="85" xfId="0" applyFont="1" applyFill="1" applyBorder="1" applyAlignment="1">
      <alignment vertical="center"/>
    </xf>
    <xf numFmtId="0" fontId="1" fillId="6" borderId="82" xfId="0" applyFont="1" applyFill="1" applyBorder="1" applyAlignment="1">
      <alignment vertical="center"/>
    </xf>
    <xf numFmtId="0" fontId="1" fillId="6" borderId="86" xfId="0" applyFont="1" applyFill="1" applyBorder="1" applyAlignment="1">
      <alignment vertical="center"/>
    </xf>
    <xf numFmtId="178" fontId="61" fillId="0" borderId="69" xfId="0" applyNumberFormat="1" applyFont="1" applyFill="1" applyBorder="1" applyAlignment="1">
      <alignment horizontal="center" vertical="center"/>
    </xf>
    <xf numFmtId="178" fontId="61" fillId="0" borderId="70" xfId="0" applyNumberFormat="1" applyFont="1" applyFill="1" applyBorder="1" applyAlignment="1">
      <alignment horizontal="center" vertical="center"/>
    </xf>
    <xf numFmtId="178" fontId="61" fillId="0" borderId="71" xfId="0" applyNumberFormat="1" applyFont="1" applyFill="1" applyBorder="1" applyAlignment="1">
      <alignment horizontal="center" vertical="center"/>
    </xf>
    <xf numFmtId="0" fontId="61" fillId="7" borderId="72" xfId="0" applyFont="1" applyFill="1" applyBorder="1" applyAlignment="1">
      <alignment horizontal="center" vertical="center"/>
    </xf>
    <xf numFmtId="0" fontId="61" fillId="7" borderId="5" xfId="0" applyFont="1" applyFill="1" applyBorder="1" applyAlignment="1">
      <alignment horizontal="center" vertical="center"/>
    </xf>
    <xf numFmtId="0" fontId="61" fillId="7" borderId="73" xfId="0" applyFont="1" applyFill="1" applyBorder="1" applyAlignment="1">
      <alignment horizontal="center" vertical="center"/>
    </xf>
    <xf numFmtId="0" fontId="61" fillId="0" borderId="72" xfId="0" applyFont="1" applyFill="1" applyBorder="1" applyAlignment="1">
      <alignment horizontal="center" vertical="center"/>
    </xf>
    <xf numFmtId="0" fontId="61" fillId="0" borderId="5" xfId="0" applyFont="1" applyFill="1" applyBorder="1" applyAlignment="1">
      <alignment horizontal="center" vertical="center"/>
    </xf>
    <xf numFmtId="0" fontId="61" fillId="0" borderId="73" xfId="0" applyFont="1" applyFill="1" applyBorder="1" applyAlignment="1">
      <alignment horizontal="center" vertical="center"/>
    </xf>
    <xf numFmtId="169" fontId="61" fillId="0" borderId="72" xfId="0" applyNumberFormat="1" applyFont="1" applyFill="1" applyBorder="1" applyAlignment="1">
      <alignment horizontal="center" vertical="center"/>
    </xf>
    <xf numFmtId="169" fontId="61" fillId="0" borderId="5" xfId="0" applyNumberFormat="1" applyFont="1" applyFill="1" applyBorder="1" applyAlignment="1">
      <alignment horizontal="center" vertical="center"/>
    </xf>
    <xf numFmtId="169" fontId="61" fillId="0" borderId="73" xfId="0" applyNumberFormat="1" applyFont="1" applyFill="1" applyBorder="1" applyAlignment="1">
      <alignment horizontal="center" vertical="center"/>
    </xf>
    <xf numFmtId="0" fontId="1" fillId="6" borderId="78" xfId="0" applyFont="1" applyFill="1" applyBorder="1" applyAlignment="1">
      <alignment horizontal="left" vertical="center" wrapText="1"/>
    </xf>
    <xf numFmtId="0" fontId="1" fillId="6" borderId="84" xfId="0" applyFont="1" applyFill="1" applyBorder="1" applyAlignment="1">
      <alignment horizontal="left" vertical="center" wrapText="1"/>
    </xf>
    <xf numFmtId="0" fontId="1" fillId="6" borderId="49" xfId="67" applyFont="1" applyFill="1" applyBorder="1" applyAlignment="1" applyProtection="1">
      <alignment horizontal="right" vertical="center"/>
      <protection locked="0"/>
    </xf>
    <xf numFmtId="0" fontId="1" fillId="6" borderId="51" xfId="67" applyFont="1" applyFill="1" applyBorder="1" applyAlignment="1" applyProtection="1">
      <alignment horizontal="right" vertical="center"/>
      <protection locked="0"/>
    </xf>
    <xf numFmtId="0" fontId="57" fillId="6" borderId="87" xfId="0" applyFont="1" applyFill="1" applyBorder="1" applyAlignment="1">
      <alignment horizontal="center" vertical="center"/>
    </xf>
    <xf numFmtId="0" fontId="58" fillId="6" borderId="77" xfId="0" applyFont="1" applyFill="1" applyBorder="1" applyAlignment="1">
      <alignment horizontal="center" vertical="center"/>
    </xf>
    <xf numFmtId="0" fontId="58" fillId="6" borderId="88" xfId="0" applyFont="1" applyFill="1" applyBorder="1" applyAlignment="1">
      <alignment horizontal="center" vertical="center"/>
    </xf>
    <xf numFmtId="0" fontId="17" fillId="6" borderId="64"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65" xfId="0" applyFont="1" applyFill="1" applyBorder="1" applyAlignment="1">
      <alignment horizontal="center" vertical="center"/>
    </xf>
    <xf numFmtId="0" fontId="1" fillId="6" borderId="59" xfId="67" applyNumberFormat="1" applyFont="1" applyFill="1" applyBorder="1" applyAlignment="1" applyProtection="1">
      <alignment horizontal="right" vertical="center"/>
      <protection locked="0"/>
    </xf>
    <xf numFmtId="0" fontId="1" fillId="6" borderId="53" xfId="67" applyNumberFormat="1" applyFont="1" applyFill="1" applyBorder="1" applyAlignment="1" applyProtection="1">
      <alignment horizontal="right" vertical="center"/>
      <protection locked="0"/>
    </xf>
    <xf numFmtId="0" fontId="90" fillId="0" borderId="119" xfId="67" applyFont="1" applyFill="1" applyBorder="1" applyAlignment="1">
      <alignment wrapText="1"/>
    </xf>
    <xf numFmtId="0" fontId="90" fillId="0" borderId="123" xfId="67" applyFont="1" applyFill="1" applyBorder="1" applyAlignment="1">
      <alignment wrapText="1"/>
    </xf>
    <xf numFmtId="0" fontId="88" fillId="3" borderId="64" xfId="67" applyFont="1" applyFill="1" applyBorder="1" applyAlignment="1">
      <alignment horizontal="left" vertical="center" wrapText="1"/>
    </xf>
    <xf numFmtId="0" fontId="88" fillId="3" borderId="65" xfId="67" applyFont="1" applyFill="1" applyBorder="1" applyAlignment="1">
      <alignment horizontal="left" vertical="center" wrapText="1"/>
    </xf>
    <xf numFmtId="0" fontId="88" fillId="3" borderId="66" xfId="67" applyFont="1" applyFill="1" applyBorder="1" applyAlignment="1">
      <alignment horizontal="left" vertical="center" wrapText="1"/>
    </xf>
    <xf numFmtId="0" fontId="90" fillId="0" borderId="118" xfId="67" applyFont="1" applyFill="1" applyBorder="1" applyAlignment="1">
      <alignment wrapText="1"/>
    </xf>
    <xf numFmtId="0" fontId="90" fillId="0" borderId="120" xfId="67" applyFont="1" applyFill="1" applyBorder="1" applyAlignment="1">
      <alignment wrapText="1"/>
    </xf>
    <xf numFmtId="0" fontId="90" fillId="0" borderId="119" xfId="67" applyFont="1" applyFill="1" applyBorder="1" applyAlignment="1"/>
    <xf numFmtId="0" fontId="90" fillId="0" borderId="119" xfId="67" applyFont="1" applyFill="1" applyBorder="1" applyAlignment="1">
      <alignment vertical="center" wrapText="1"/>
    </xf>
    <xf numFmtId="0" fontId="90" fillId="0" borderId="122" xfId="67" applyFont="1" applyFill="1" applyBorder="1" applyAlignment="1"/>
    <xf numFmtId="0" fontId="87" fillId="6" borderId="0" xfId="67" applyFont="1" applyFill="1" applyAlignment="1">
      <alignment horizontal="center" vertical="center" wrapText="1"/>
    </xf>
    <xf numFmtId="0" fontId="90" fillId="0" borderId="121" xfId="67" applyFont="1" applyFill="1" applyBorder="1" applyAlignment="1">
      <alignment wrapText="1"/>
    </xf>
    <xf numFmtId="0" fontId="90" fillId="0" borderId="121" xfId="67" applyFont="1" applyFill="1" applyBorder="1" applyAlignment="1"/>
    <xf numFmtId="0" fontId="90" fillId="0" borderId="119" xfId="67" applyFont="1" applyBorder="1" applyAlignment="1">
      <alignment vertical="center"/>
    </xf>
    <xf numFmtId="0" fontId="90" fillId="0" borderId="119" xfId="67" applyFont="1" applyFill="1" applyBorder="1" applyAlignment="1">
      <alignment vertical="center"/>
    </xf>
    <xf numFmtId="0" fontId="90" fillId="0" borderId="120" xfId="67" applyFont="1" applyFill="1" applyBorder="1" applyAlignment="1">
      <alignment vertical="center"/>
    </xf>
    <xf numFmtId="0" fontId="90" fillId="0" borderId="120" xfId="67" applyFont="1" applyFill="1" applyBorder="1" applyAlignment="1"/>
    <xf numFmtId="0" fontId="90" fillId="0" borderId="118" xfId="67" applyFont="1" applyFill="1" applyBorder="1" applyAlignment="1">
      <alignment vertical="center"/>
    </xf>
    <xf numFmtId="0" fontId="90" fillId="0" borderId="119" xfId="67" applyFont="1" applyFill="1" applyBorder="1" applyAlignment="1" applyProtection="1">
      <alignment horizontal="left" vertical="center"/>
      <protection locked="0"/>
    </xf>
    <xf numFmtId="0" fontId="90" fillId="0" borderId="118" xfId="67" applyFont="1" applyFill="1" applyBorder="1" applyAlignment="1"/>
    <xf numFmtId="0" fontId="87" fillId="6" borderId="56" xfId="67" applyFont="1" applyFill="1" applyBorder="1" applyAlignment="1">
      <alignment horizontal="center" vertical="center"/>
    </xf>
    <xf numFmtId="0" fontId="66" fillId="6" borderId="64" xfId="67" applyFont="1" applyFill="1" applyBorder="1" applyAlignment="1" applyProtection="1">
      <alignment horizontal="left" vertical="center"/>
      <protection locked="0"/>
    </xf>
    <xf numFmtId="0" fontId="66" fillId="6" borderId="65" xfId="67" applyFont="1" applyFill="1" applyBorder="1" applyAlignment="1" applyProtection="1">
      <alignment horizontal="left" vertical="center"/>
      <protection locked="0"/>
    </xf>
    <xf numFmtId="0" fontId="66" fillId="6" borderId="66" xfId="67" applyFont="1" applyFill="1" applyBorder="1" applyAlignment="1" applyProtection="1">
      <alignment horizontal="left" vertical="center"/>
      <protection locked="0"/>
    </xf>
    <xf numFmtId="0" fontId="81" fillId="6" borderId="49" xfId="67" applyFont="1" applyFill="1" applyBorder="1" applyAlignment="1" applyProtection="1">
      <alignment horizontal="left" vertical="center"/>
      <protection locked="0"/>
    </xf>
    <xf numFmtId="0" fontId="65" fillId="6" borderId="50" xfId="67" applyFont="1" applyFill="1" applyBorder="1" applyAlignment="1" applyProtection="1">
      <alignment horizontal="left" vertical="center"/>
      <protection locked="0"/>
    </xf>
    <xf numFmtId="0" fontId="65" fillId="6" borderId="59" xfId="67" applyFont="1" applyFill="1" applyBorder="1" applyAlignment="1" applyProtection="1">
      <alignment horizontal="left" vertical="center"/>
      <protection locked="0"/>
    </xf>
    <xf numFmtId="0" fontId="65" fillId="6" borderId="0" xfId="67" applyFont="1" applyFill="1" applyBorder="1" applyAlignment="1" applyProtection="1">
      <alignment horizontal="left" vertical="center"/>
      <protection locked="0"/>
    </xf>
    <xf numFmtId="0" fontId="65" fillId="6" borderId="59" xfId="67" applyFont="1" applyFill="1" applyBorder="1" applyAlignment="1" applyProtection="1">
      <alignment vertical="center"/>
      <protection locked="0"/>
    </xf>
    <xf numFmtId="0" fontId="65" fillId="6" borderId="0" xfId="67" applyFont="1" applyFill="1" applyBorder="1" applyAlignment="1" applyProtection="1">
      <alignment vertical="center"/>
      <protection locked="0"/>
    </xf>
    <xf numFmtId="168" fontId="68" fillId="3" borderId="46" xfId="67" applyNumberFormat="1" applyFont="1" applyFill="1" applyBorder="1" applyAlignment="1" applyProtection="1">
      <alignment horizontal="center" vertical="center"/>
    </xf>
    <xf numFmtId="168" fontId="68" fillId="3" borderId="47" xfId="67" applyNumberFormat="1" applyFont="1" applyFill="1" applyBorder="1" applyAlignment="1" applyProtection="1">
      <alignment horizontal="center" vertical="center"/>
    </xf>
    <xf numFmtId="168" fontId="68" fillId="3" borderId="48" xfId="67" applyNumberFormat="1" applyFont="1" applyFill="1" applyBorder="1" applyAlignment="1" applyProtection="1">
      <alignment horizontal="center" vertical="center"/>
    </xf>
    <xf numFmtId="0" fontId="69" fillId="9" borderId="42" xfId="67" applyFont="1" applyFill="1" applyBorder="1" applyAlignment="1" applyProtection="1">
      <alignment horizontal="center" vertical="center"/>
      <protection locked="0"/>
    </xf>
    <xf numFmtId="0" fontId="69" fillId="9" borderId="43" xfId="67" applyFont="1" applyFill="1" applyBorder="1" applyAlignment="1" applyProtection="1">
      <alignment horizontal="center" vertical="center"/>
      <protection locked="0"/>
    </xf>
    <xf numFmtId="0" fontId="69" fillId="9" borderId="44" xfId="67" applyFont="1" applyFill="1" applyBorder="1" applyAlignment="1" applyProtection="1">
      <alignment horizontal="center" vertical="center"/>
      <protection locked="0"/>
    </xf>
    <xf numFmtId="0" fontId="65" fillId="6" borderId="59" xfId="67" applyFont="1" applyFill="1" applyBorder="1" applyAlignment="1">
      <alignment horizontal="left" vertical="center"/>
    </xf>
    <xf numFmtId="0" fontId="65" fillId="6" borderId="0" xfId="67" applyFont="1" applyFill="1" applyBorder="1" applyAlignment="1">
      <alignment horizontal="left" vertical="center"/>
    </xf>
    <xf numFmtId="0" fontId="65" fillId="6" borderId="60" xfId="67" applyFont="1" applyFill="1" applyBorder="1" applyAlignment="1">
      <alignment horizontal="left" vertical="center"/>
    </xf>
    <xf numFmtId="0" fontId="65" fillId="6" borderId="56" xfId="67" applyFont="1" applyFill="1" applyBorder="1" applyAlignment="1">
      <alignment horizontal="left" vertical="center"/>
    </xf>
    <xf numFmtId="0" fontId="64" fillId="3" borderId="0" xfId="67" applyFont="1" applyFill="1" applyBorder="1" applyAlignment="1" applyProtection="1">
      <alignment horizontal="right" vertical="center"/>
      <protection locked="0"/>
    </xf>
    <xf numFmtId="0" fontId="69" fillId="9" borderId="41" xfId="67" applyFont="1" applyFill="1" applyBorder="1" applyAlignment="1" applyProtection="1">
      <alignment horizontal="center" vertical="center"/>
      <protection locked="0"/>
    </xf>
    <xf numFmtId="0" fontId="69" fillId="9" borderId="0" xfId="67" applyFont="1" applyFill="1" applyBorder="1" applyAlignment="1" applyProtection="1">
      <alignment horizontal="center" vertical="center"/>
      <protection locked="0"/>
    </xf>
    <xf numFmtId="0" fontId="69" fillId="9" borderId="45" xfId="67" applyFont="1" applyFill="1" applyBorder="1" applyAlignment="1" applyProtection="1">
      <alignment horizontal="center" vertical="center"/>
      <protection locked="0"/>
    </xf>
    <xf numFmtId="168" fontId="68" fillId="3" borderId="41" xfId="67" applyNumberFormat="1" applyFont="1" applyFill="1" applyBorder="1" applyAlignment="1" applyProtection="1">
      <alignment horizontal="center" vertical="center"/>
    </xf>
    <xf numFmtId="168" fontId="68" fillId="3" borderId="0" xfId="67" applyNumberFormat="1" applyFont="1" applyFill="1" applyBorder="1" applyAlignment="1" applyProtection="1">
      <alignment horizontal="center" vertical="center"/>
    </xf>
    <xf numFmtId="168" fontId="68" fillId="3" borderId="45" xfId="67" applyNumberFormat="1" applyFont="1" applyFill="1" applyBorder="1" applyAlignment="1" applyProtection="1">
      <alignment horizontal="center" vertical="center"/>
    </xf>
    <xf numFmtId="0" fontId="70" fillId="9" borderId="42" xfId="67" applyFont="1" applyFill="1" applyBorder="1" applyAlignment="1" applyProtection="1">
      <alignment horizontal="center" vertical="center"/>
      <protection locked="0"/>
    </xf>
    <xf numFmtId="0" fontId="70" fillId="9" borderId="43" xfId="67" applyFont="1" applyFill="1" applyBorder="1" applyAlignment="1" applyProtection="1">
      <alignment horizontal="center" vertical="center"/>
      <protection locked="0"/>
    </xf>
    <xf numFmtId="0" fontId="70" fillId="9" borderId="44" xfId="67" applyFont="1" applyFill="1" applyBorder="1" applyAlignment="1" applyProtection="1">
      <alignment horizontal="center" vertical="center"/>
      <protection locked="0"/>
    </xf>
    <xf numFmtId="168" fontId="74" fillId="8" borderId="46" xfId="67" applyNumberFormat="1" applyFont="1" applyFill="1" applyBorder="1" applyAlignment="1" applyProtection="1">
      <alignment horizontal="center" vertical="center"/>
    </xf>
    <xf numFmtId="168" fontId="74" fillId="8" borderId="47" xfId="67" applyNumberFormat="1" applyFont="1" applyFill="1" applyBorder="1" applyAlignment="1" applyProtection="1">
      <alignment horizontal="center" vertical="center"/>
    </xf>
    <xf numFmtId="168" fontId="74" fillId="8" borderId="48" xfId="67" applyNumberFormat="1" applyFont="1" applyFill="1" applyBorder="1" applyAlignment="1" applyProtection="1">
      <alignment horizontal="center" vertical="center"/>
    </xf>
    <xf numFmtId="10" fontId="74" fillId="8" borderId="46" xfId="69" applyNumberFormat="1" applyFont="1" applyFill="1" applyBorder="1" applyAlignment="1" applyProtection="1">
      <alignment horizontal="center" vertical="center"/>
    </xf>
    <xf numFmtId="10" fontId="74" fillId="8" borderId="47" xfId="69" applyNumberFormat="1" applyFont="1" applyFill="1" applyBorder="1" applyAlignment="1" applyProtection="1">
      <alignment horizontal="center" vertical="center"/>
    </xf>
    <xf numFmtId="10" fontId="74" fillId="8" borderId="48" xfId="69" applyNumberFormat="1" applyFont="1" applyFill="1" applyBorder="1" applyAlignment="1" applyProtection="1">
      <alignment horizontal="center" vertical="center"/>
    </xf>
    <xf numFmtId="0" fontId="57" fillId="6" borderId="64" xfId="0" applyFont="1" applyFill="1" applyBorder="1" applyAlignment="1">
      <alignment horizontal="center" vertical="center"/>
    </xf>
    <xf numFmtId="0" fontId="57" fillId="6" borderId="65" xfId="0" applyFont="1" applyFill="1" applyBorder="1" applyAlignment="1">
      <alignment horizontal="center" vertical="center"/>
    </xf>
    <xf numFmtId="0" fontId="57" fillId="6" borderId="66" xfId="0" applyFont="1" applyFill="1" applyBorder="1" applyAlignment="1">
      <alignment horizontal="center" vertical="center"/>
    </xf>
    <xf numFmtId="0" fontId="83" fillId="3" borderId="0" xfId="0" applyFont="1" applyFill="1" applyBorder="1" applyAlignment="1">
      <alignment horizontal="left" vertical="top" wrapText="1"/>
    </xf>
    <xf numFmtId="0" fontId="83" fillId="3" borderId="53" xfId="0" applyFont="1" applyFill="1" applyBorder="1" applyAlignment="1">
      <alignment horizontal="left" vertical="top" wrapText="1"/>
    </xf>
    <xf numFmtId="0" fontId="83" fillId="3" borderId="56" xfId="0" applyFont="1" applyFill="1" applyBorder="1" applyAlignment="1">
      <alignment horizontal="left" vertical="top" wrapText="1"/>
    </xf>
    <xf numFmtId="0" fontId="83" fillId="3" borderId="57" xfId="0" applyFont="1" applyFill="1" applyBorder="1" applyAlignment="1">
      <alignment horizontal="left" vertical="top" wrapText="1"/>
    </xf>
    <xf numFmtId="0" fontId="82" fillId="3" borderId="50" xfId="0" applyFont="1" applyFill="1" applyBorder="1" applyAlignment="1">
      <alignment horizontal="left" vertical="top" wrapText="1"/>
    </xf>
    <xf numFmtId="0" fontId="82" fillId="3" borderId="51" xfId="0" applyFont="1" applyFill="1" applyBorder="1" applyAlignment="1">
      <alignment horizontal="left" vertical="top" wrapText="1"/>
    </xf>
    <xf numFmtId="0" fontId="64" fillId="3" borderId="56" xfId="67" applyFont="1" applyFill="1" applyBorder="1" applyAlignment="1">
      <alignment horizontal="center" vertical="center"/>
    </xf>
    <xf numFmtId="0" fontId="65" fillId="6" borderId="49" xfId="67" applyFont="1" applyFill="1" applyBorder="1" applyAlignment="1">
      <alignment vertical="center"/>
    </xf>
    <xf numFmtId="0" fontId="65" fillId="6" borderId="50" xfId="67" applyFont="1" applyFill="1" applyBorder="1" applyAlignment="1">
      <alignment vertical="center"/>
    </xf>
    <xf numFmtId="0" fontId="65" fillId="6" borderId="59" xfId="67" applyFont="1" applyFill="1" applyBorder="1" applyAlignment="1">
      <alignment vertical="center"/>
    </xf>
    <xf numFmtId="0" fontId="65" fillId="6" borderId="0" xfId="67" applyFont="1" applyFill="1" applyBorder="1" applyAlignment="1">
      <alignment vertical="center"/>
    </xf>
    <xf numFmtId="0" fontId="65" fillId="6" borderId="60" xfId="67" applyFont="1" applyFill="1" applyBorder="1" applyAlignment="1">
      <alignment vertical="center"/>
    </xf>
    <xf numFmtId="0" fontId="65" fillId="6" borderId="56" xfId="67" applyFont="1" applyFill="1" applyBorder="1" applyAlignment="1">
      <alignment vertical="center"/>
    </xf>
    <xf numFmtId="0" fontId="65" fillId="6" borderId="49" xfId="67" applyFont="1" applyFill="1" applyBorder="1" applyAlignment="1">
      <alignment horizontal="left" vertical="center"/>
    </xf>
    <xf numFmtId="0" fontId="65" fillId="6" borderId="50" xfId="67" applyFont="1" applyFill="1" applyBorder="1" applyAlignment="1">
      <alignment horizontal="left" vertical="center"/>
    </xf>
    <xf numFmtId="0" fontId="0" fillId="2" borderId="6" xfId="0" applyFont="1" applyFill="1" applyBorder="1" applyAlignment="1" applyProtection="1">
      <alignment horizontal="center"/>
    </xf>
    <xf numFmtId="0" fontId="41" fillId="2" borderId="6" xfId="0" applyFont="1" applyFill="1" applyBorder="1" applyAlignment="1" applyProtection="1">
      <alignment horizontal="center"/>
    </xf>
    <xf numFmtId="0" fontId="41" fillId="2" borderId="5" xfId="0" applyFont="1" applyFill="1" applyBorder="1" applyAlignment="1" applyProtection="1">
      <alignment horizontal="center"/>
    </xf>
    <xf numFmtId="0" fontId="41" fillId="2" borderId="6" xfId="0" applyFont="1" applyFill="1" applyBorder="1" applyAlignment="1" applyProtection="1">
      <alignment horizontal="center"/>
      <protection locked="0"/>
    </xf>
    <xf numFmtId="0" fontId="49" fillId="2" borderId="0" xfId="0" applyFont="1" applyFill="1" applyBorder="1" applyAlignment="1" applyProtection="1">
      <alignment horizontal="center"/>
    </xf>
    <xf numFmtId="0" fontId="5" fillId="2" borderId="0" xfId="0" applyFont="1" applyFill="1" applyBorder="1" applyAlignment="1" applyProtection="1">
      <alignment horizontal="center"/>
    </xf>
    <xf numFmtId="0" fontId="6" fillId="2" borderId="10" xfId="0" applyFont="1" applyFill="1" applyBorder="1" applyProtection="1">
      <protection locked="0"/>
    </xf>
    <xf numFmtId="0" fontId="6" fillId="2" borderId="5" xfId="0" applyFont="1" applyFill="1" applyBorder="1" applyProtection="1">
      <protection locked="0"/>
    </xf>
    <xf numFmtId="0" fontId="6" fillId="2" borderId="4" xfId="0" applyFont="1" applyFill="1" applyBorder="1" applyProtection="1">
      <protection locked="0"/>
    </xf>
    <xf numFmtId="0" fontId="7" fillId="6" borderId="64" xfId="0" applyFont="1" applyFill="1" applyBorder="1" applyAlignment="1" applyProtection="1">
      <alignment horizontal="center" vertical="center" wrapText="1"/>
      <protection locked="0"/>
    </xf>
    <xf numFmtId="0" fontId="7" fillId="6" borderId="65" xfId="0" applyFont="1" applyFill="1" applyBorder="1" applyAlignment="1" applyProtection="1">
      <alignment horizontal="center" vertical="center" wrapText="1"/>
      <protection locked="0"/>
    </xf>
    <xf numFmtId="0" fontId="6" fillId="2" borderId="12" xfId="0" applyFont="1" applyFill="1" applyBorder="1" applyProtection="1">
      <protection locked="0"/>
    </xf>
    <xf numFmtId="0" fontId="6" fillId="2" borderId="6" xfId="0" applyFont="1" applyFill="1" applyBorder="1" applyProtection="1">
      <protection locked="0"/>
    </xf>
    <xf numFmtId="0" fontId="6" fillId="2" borderId="13" xfId="0" applyFont="1" applyFill="1" applyBorder="1" applyProtection="1">
      <protection locked="0"/>
    </xf>
    <xf numFmtId="0" fontId="14" fillId="2" borderId="14" xfId="0" applyFont="1" applyFill="1" applyBorder="1" applyAlignment="1" applyProtection="1">
      <alignment horizontal="left" vertical="top" wrapText="1"/>
      <protection locked="0"/>
    </xf>
    <xf numFmtId="0" fontId="14" fillId="2" borderId="16" xfId="0" applyFont="1" applyFill="1" applyBorder="1" applyAlignment="1" applyProtection="1">
      <alignment horizontal="left" vertical="top" wrapText="1"/>
      <protection locked="0"/>
    </xf>
    <xf numFmtId="0" fontId="7" fillId="2" borderId="14" xfId="0" applyFont="1" applyFill="1" applyBorder="1" applyProtection="1">
      <protection locked="0"/>
    </xf>
    <xf numFmtId="0" fontId="7" fillId="2" borderId="16" xfId="0" applyFont="1" applyFill="1" applyBorder="1" applyProtection="1">
      <protection locked="0"/>
    </xf>
    <xf numFmtId="0" fontId="5" fillId="2" borderId="0" xfId="0" applyFont="1" applyFill="1" applyBorder="1" applyAlignment="1" applyProtection="1">
      <alignment horizontal="center"/>
      <protection locked="0"/>
    </xf>
    <xf numFmtId="0" fontId="80" fillId="0" borderId="18" xfId="0" applyFont="1" applyBorder="1" applyAlignment="1">
      <alignment horizontal="center"/>
    </xf>
    <xf numFmtId="0" fontId="7" fillId="2" borderId="12" xfId="0" applyFont="1" applyFill="1" applyBorder="1" applyProtection="1">
      <protection locked="0"/>
    </xf>
    <xf numFmtId="0" fontId="7" fillId="2" borderId="13" xfId="0" applyFont="1" applyFill="1" applyBorder="1" applyProtection="1">
      <protection locked="0"/>
    </xf>
    <xf numFmtId="0" fontId="7" fillId="2" borderId="17" xfId="0" applyFont="1" applyFill="1" applyBorder="1" applyProtection="1">
      <protection locked="0"/>
    </xf>
    <xf numFmtId="0" fontId="7" fillId="2" borderId="19" xfId="0" applyFont="1" applyFill="1" applyBorder="1" applyProtection="1">
      <protection locked="0"/>
    </xf>
    <xf numFmtId="0" fontId="15" fillId="5" borderId="14" xfId="0" applyFont="1" applyFill="1" applyBorder="1" applyAlignment="1" applyProtection="1">
      <alignment horizontal="left" vertical="top" wrapText="1"/>
      <protection locked="0"/>
    </xf>
    <xf numFmtId="0" fontId="15" fillId="5" borderId="16" xfId="0" applyFont="1" applyFill="1" applyBorder="1" applyAlignment="1" applyProtection="1">
      <alignment horizontal="left" vertical="top" wrapText="1"/>
      <protection locked="0"/>
    </xf>
    <xf numFmtId="0" fontId="15" fillId="5" borderId="12" xfId="0" applyFont="1" applyFill="1" applyBorder="1" applyAlignment="1" applyProtection="1">
      <alignment horizontal="left" vertical="top" wrapText="1"/>
      <protection locked="0"/>
    </xf>
    <xf numFmtId="0" fontId="15" fillId="5" borderId="13" xfId="0" applyFont="1" applyFill="1" applyBorder="1" applyAlignment="1" applyProtection="1">
      <alignment horizontal="left" vertical="top" wrapText="1"/>
      <protection locked="0"/>
    </xf>
    <xf numFmtId="0" fontId="1" fillId="2" borderId="0" xfId="0" applyFont="1" applyFill="1" applyBorder="1" applyAlignment="1" applyProtection="1">
      <alignment horizontal="center"/>
      <protection locked="0"/>
    </xf>
    <xf numFmtId="0" fontId="1" fillId="2" borderId="6" xfId="0" applyFont="1" applyFill="1" applyBorder="1" applyProtection="1">
      <protection locked="0"/>
    </xf>
    <xf numFmtId="0" fontId="1" fillId="2" borderId="5" xfId="0" applyFont="1" applyFill="1" applyBorder="1" applyProtection="1">
      <protection locked="0"/>
    </xf>
    <xf numFmtId="0" fontId="14" fillId="2" borderId="12" xfId="0" applyFont="1" applyFill="1" applyBorder="1" applyAlignment="1" applyProtection="1">
      <alignment horizontal="left" vertical="top" wrapText="1"/>
      <protection locked="0"/>
    </xf>
    <xf numFmtId="0" fontId="14" fillId="2" borderId="13" xfId="0" applyFont="1" applyFill="1" applyBorder="1" applyAlignment="1" applyProtection="1">
      <alignment horizontal="left" vertical="top"/>
      <protection locked="0"/>
    </xf>
    <xf numFmtId="0" fontId="80" fillId="0" borderId="0" xfId="0" applyFont="1" applyAlignment="1">
      <alignment horizontal="center"/>
    </xf>
    <xf numFmtId="0" fontId="14" fillId="2" borderId="13" xfId="0" applyFont="1" applyFill="1" applyBorder="1" applyAlignment="1" applyProtection="1">
      <alignment horizontal="left" vertical="top" wrapText="1"/>
      <protection locked="0"/>
    </xf>
    <xf numFmtId="0" fontId="6" fillId="2" borderId="17" xfId="0" applyFont="1" applyFill="1" applyBorder="1" applyProtection="1">
      <protection locked="0"/>
    </xf>
    <xf numFmtId="0" fontId="6" fillId="2" borderId="18" xfId="0" applyFont="1" applyFill="1" applyBorder="1" applyProtection="1">
      <protection locked="0"/>
    </xf>
    <xf numFmtId="0" fontId="6" fillId="2" borderId="19" xfId="0" applyFont="1" applyFill="1" applyBorder="1" applyProtection="1">
      <protection locked="0"/>
    </xf>
    <xf numFmtId="0" fontId="7" fillId="2" borderId="20" xfId="0" applyFont="1" applyFill="1" applyBorder="1" applyAlignment="1" applyProtection="1">
      <alignment wrapText="1"/>
      <protection locked="0"/>
    </xf>
    <xf numFmtId="0" fontId="7" fillId="2" borderId="21" xfId="0" applyFont="1" applyFill="1" applyBorder="1" applyAlignment="1" applyProtection="1">
      <alignment wrapText="1"/>
      <protection locked="0"/>
    </xf>
    <xf numFmtId="0" fontId="6" fillId="2" borderId="22" xfId="0" applyFont="1" applyFill="1" applyBorder="1" applyProtection="1">
      <protection locked="0"/>
    </xf>
    <xf numFmtId="0" fontId="6" fillId="2" borderId="23" xfId="0" applyFont="1" applyFill="1" applyBorder="1" applyProtection="1">
      <protection locked="0"/>
    </xf>
    <xf numFmtId="0" fontId="6" fillId="2" borderId="7" xfId="0" applyFont="1" applyFill="1" applyBorder="1" applyProtection="1">
      <protection locked="0"/>
    </xf>
    <xf numFmtId="0" fontId="7" fillId="2" borderId="24" xfId="0" applyFont="1" applyFill="1" applyBorder="1" applyProtection="1">
      <protection locked="0"/>
    </xf>
    <xf numFmtId="0" fontId="7" fillId="2" borderId="25" xfId="0" applyFont="1" applyFill="1" applyBorder="1" applyProtection="1">
      <protection locked="0"/>
    </xf>
    <xf numFmtId="0" fontId="6" fillId="2" borderId="26" xfId="0" applyFont="1" applyFill="1" applyBorder="1" applyProtection="1">
      <protection locked="0"/>
    </xf>
    <xf numFmtId="0" fontId="6" fillId="2" borderId="27" xfId="0" applyFont="1" applyFill="1" applyBorder="1" applyProtection="1">
      <protection locked="0"/>
    </xf>
    <xf numFmtId="0" fontId="6" fillId="2" borderId="28" xfId="0" applyFont="1" applyFill="1" applyBorder="1" applyProtection="1">
      <protection locked="0"/>
    </xf>
    <xf numFmtId="0" fontId="7" fillId="2" borderId="20" xfId="0" applyFont="1" applyFill="1" applyBorder="1" applyAlignment="1" applyProtection="1">
      <alignment vertical="center"/>
      <protection locked="0"/>
    </xf>
    <xf numFmtId="0" fontId="7" fillId="2" borderId="21" xfId="0" applyFont="1" applyFill="1" applyBorder="1" applyAlignment="1" applyProtection="1">
      <alignment vertical="center"/>
      <protection locked="0"/>
    </xf>
    <xf numFmtId="0" fontId="16" fillId="2" borderId="14" xfId="0" applyFont="1" applyFill="1" applyBorder="1" applyAlignment="1" applyProtection="1">
      <alignment horizontal="left" vertical="top" wrapText="1"/>
      <protection locked="0"/>
    </xf>
    <xf numFmtId="0" fontId="16" fillId="2" borderId="16" xfId="0" applyFont="1" applyFill="1" applyBorder="1" applyAlignment="1" applyProtection="1">
      <alignment horizontal="left" vertical="top" wrapText="1"/>
      <protection locked="0"/>
    </xf>
    <xf numFmtId="0" fontId="16" fillId="2" borderId="12" xfId="0" applyFont="1" applyFill="1" applyBorder="1" applyAlignment="1" applyProtection="1">
      <alignment horizontal="left" vertical="top" wrapText="1"/>
      <protection locked="0"/>
    </xf>
    <xf numFmtId="0" fontId="16" fillId="2" borderId="13" xfId="0" applyFont="1" applyFill="1" applyBorder="1" applyAlignment="1" applyProtection="1">
      <alignment horizontal="left" vertical="top" wrapText="1"/>
      <protection locked="0"/>
    </xf>
    <xf numFmtId="0" fontId="80" fillId="0" borderId="43" xfId="0" applyFont="1" applyBorder="1" applyAlignment="1">
      <alignment horizontal="center"/>
    </xf>
    <xf numFmtId="0" fontId="8" fillId="2" borderId="10" xfId="0" applyFont="1" applyFill="1" applyBorder="1" applyProtection="1">
      <protection locked="0"/>
    </xf>
    <xf numFmtId="0" fontId="8" fillId="2" borderId="5" xfId="0" applyFont="1" applyFill="1" applyBorder="1" applyProtection="1">
      <protection locked="0"/>
    </xf>
    <xf numFmtId="0" fontId="8" fillId="2" borderId="4" xfId="0" applyFont="1" applyFill="1" applyBorder="1" applyProtection="1">
      <protection locked="0"/>
    </xf>
    <xf numFmtId="0" fontId="9" fillId="2" borderId="10" xfId="0" applyFont="1" applyFill="1" applyBorder="1" applyProtection="1">
      <protection locked="0"/>
    </xf>
    <xf numFmtId="0" fontId="9" fillId="2" borderId="5" xfId="0" applyFont="1" applyFill="1" applyBorder="1" applyProtection="1">
      <protection locked="0"/>
    </xf>
    <xf numFmtId="0" fontId="9" fillId="2" borderId="4" xfId="0" applyFont="1" applyFill="1" applyBorder="1" applyProtection="1">
      <protection locked="0"/>
    </xf>
    <xf numFmtId="0" fontId="15" fillId="5" borderId="37" xfId="0" applyFont="1" applyFill="1" applyBorder="1" applyAlignment="1" applyProtection="1">
      <alignment horizontal="left" vertical="top" wrapText="1"/>
      <protection locked="0"/>
    </xf>
    <xf numFmtId="0" fontId="10" fillId="2" borderId="14" xfId="0" applyFont="1" applyFill="1" applyBorder="1" applyProtection="1">
      <protection locked="0"/>
    </xf>
    <xf numFmtId="0" fontId="10" fillId="2" borderId="16" xfId="0" applyFont="1" applyFill="1" applyBorder="1" applyProtection="1">
      <protection locked="0"/>
    </xf>
    <xf numFmtId="0" fontId="50" fillId="2" borderId="0" xfId="0" applyFont="1" applyFill="1" applyBorder="1" applyAlignment="1" applyProtection="1">
      <alignment horizontal="left" vertical="top" wrapText="1"/>
      <protection locked="0"/>
    </xf>
    <xf numFmtId="168" fontId="1" fillId="6" borderId="59" xfId="0" applyNumberFormat="1" applyFont="1" applyFill="1" applyBorder="1" applyAlignment="1" applyProtection="1">
      <alignment vertical="center"/>
    </xf>
    <xf numFmtId="168" fontId="1" fillId="6" borderId="0" xfId="0" applyNumberFormat="1" applyFont="1" applyFill="1" applyBorder="1" applyAlignment="1" applyProtection="1">
      <alignment vertical="center"/>
    </xf>
    <xf numFmtId="0" fontId="69" fillId="9" borderId="49" xfId="67" applyFont="1" applyFill="1" applyBorder="1" applyAlignment="1" applyProtection="1">
      <alignment horizontal="center" vertical="center"/>
      <protection locked="0"/>
    </xf>
    <xf numFmtId="0" fontId="69" fillId="9" borderId="50" xfId="67" applyFont="1" applyFill="1" applyBorder="1" applyAlignment="1" applyProtection="1">
      <alignment horizontal="center" vertical="center"/>
      <protection locked="0"/>
    </xf>
    <xf numFmtId="0" fontId="69" fillId="9" borderId="51" xfId="67" applyFont="1" applyFill="1" applyBorder="1" applyAlignment="1" applyProtection="1">
      <alignment horizontal="center" vertical="center"/>
      <protection locked="0"/>
    </xf>
    <xf numFmtId="168" fontId="76" fillId="3" borderId="60" xfId="0" applyNumberFormat="1" applyFont="1" applyFill="1" applyBorder="1" applyAlignment="1" applyProtection="1">
      <alignment horizontal="center" vertical="center"/>
    </xf>
    <xf numFmtId="168" fontId="76" fillId="3" borderId="56" xfId="0" applyNumberFormat="1" applyFont="1" applyFill="1" applyBorder="1" applyAlignment="1" applyProtection="1">
      <alignment horizontal="center" vertical="center"/>
    </xf>
    <xf numFmtId="168" fontId="76" fillId="3" borderId="57" xfId="0" applyNumberFormat="1" applyFont="1" applyFill="1" applyBorder="1" applyAlignment="1" applyProtection="1">
      <alignment horizontal="center" vertical="center"/>
    </xf>
    <xf numFmtId="0" fontId="1" fillId="6" borderId="49" xfId="0" applyFont="1" applyFill="1" applyBorder="1" applyAlignment="1" applyProtection="1">
      <alignment horizontal="left" vertical="center"/>
      <protection locked="0"/>
    </xf>
    <xf numFmtId="0" fontId="1" fillId="6" borderId="50" xfId="0" applyFont="1" applyFill="1" applyBorder="1" applyAlignment="1" applyProtection="1">
      <alignment horizontal="left" vertical="center"/>
      <protection locked="0"/>
    </xf>
    <xf numFmtId="168" fontId="1" fillId="6" borderId="60" xfId="0" applyNumberFormat="1" applyFont="1" applyFill="1" applyBorder="1" applyAlignment="1" applyProtection="1">
      <alignment vertical="center"/>
    </xf>
    <xf numFmtId="168" fontId="1" fillId="6" borderId="56" xfId="0" applyNumberFormat="1" applyFont="1" applyFill="1" applyBorder="1" applyAlignment="1" applyProtection="1">
      <alignment vertical="center"/>
    </xf>
    <xf numFmtId="168" fontId="17" fillId="3" borderId="39" xfId="0" applyNumberFormat="1" applyFont="1" applyFill="1" applyBorder="1" applyAlignment="1" applyProtection="1">
      <alignment horizontal="right" vertical="center" indent="1"/>
    </xf>
    <xf numFmtId="168" fontId="17" fillId="3" borderId="40" xfId="0" applyNumberFormat="1" applyFont="1" applyFill="1" applyBorder="1" applyAlignment="1" applyProtection="1">
      <alignment horizontal="right" vertical="center" indent="1"/>
    </xf>
    <xf numFmtId="0" fontId="7" fillId="2" borderId="2" xfId="0" applyFont="1" applyFill="1" applyBorder="1" applyProtection="1">
      <protection locked="0"/>
    </xf>
    <xf numFmtId="0" fontId="7" fillId="2" borderId="105" xfId="0" applyFont="1" applyFill="1" applyBorder="1" applyProtection="1">
      <protection locked="0"/>
    </xf>
    <xf numFmtId="0" fontId="6" fillId="2" borderId="2" xfId="0" applyFont="1" applyFill="1" applyBorder="1" applyProtection="1">
      <protection locked="0"/>
    </xf>
    <xf numFmtId="0" fontId="1" fillId="6" borderId="59" xfId="0" applyFont="1" applyFill="1" applyBorder="1" applyAlignment="1" applyProtection="1">
      <alignment horizontal="left" vertical="center"/>
      <protection locked="0"/>
    </xf>
    <xf numFmtId="0" fontId="1" fillId="6" borderId="0" xfId="0" applyFont="1" applyFill="1" applyBorder="1" applyAlignment="1" applyProtection="1">
      <alignment horizontal="left" vertical="center"/>
      <protection locked="0"/>
    </xf>
    <xf numFmtId="0" fontId="17" fillId="0" borderId="0" xfId="0" applyFont="1" applyFill="1" applyBorder="1" applyAlignment="1" applyProtection="1">
      <alignment horizontal="right" vertical="center"/>
      <protection locked="0"/>
    </xf>
    <xf numFmtId="0" fontId="15" fillId="5" borderId="38" xfId="0" applyFont="1" applyFill="1" applyBorder="1" applyAlignment="1" applyProtection="1">
      <alignment horizontal="left" vertical="top" wrapText="1"/>
      <protection locked="0"/>
    </xf>
    <xf numFmtId="0" fontId="15" fillId="5" borderId="14" xfId="0" applyFont="1" applyFill="1" applyBorder="1" applyAlignment="1" applyProtection="1">
      <alignment horizontal="center" vertical="top" wrapText="1"/>
      <protection locked="0"/>
    </xf>
    <xf numFmtId="0" fontId="15" fillId="5" borderId="16" xfId="0" applyFont="1" applyFill="1" applyBorder="1" applyAlignment="1" applyProtection="1">
      <alignment horizontal="center" vertical="top" wrapText="1"/>
      <protection locked="0"/>
    </xf>
    <xf numFmtId="14" fontId="6" fillId="3" borderId="100" xfId="0" applyNumberFormat="1" applyFont="1" applyFill="1" applyBorder="1" applyAlignment="1" applyProtection="1">
      <alignment horizontal="center"/>
    </xf>
    <xf numFmtId="14" fontId="6" fillId="3" borderId="101" xfId="0" applyNumberFormat="1" applyFont="1" applyFill="1" applyBorder="1" applyAlignment="1" applyProtection="1">
      <alignment horizontal="center"/>
    </xf>
    <xf numFmtId="0" fontId="6" fillId="3" borderId="10" xfId="0" applyFont="1" applyFill="1" applyBorder="1" applyAlignment="1" applyProtection="1">
      <alignment horizontal="center"/>
    </xf>
    <xf numFmtId="0" fontId="6" fillId="3" borderId="4" xfId="0" applyFont="1" applyFill="1" applyBorder="1" applyAlignment="1" applyProtection="1">
      <alignment horizontal="center"/>
    </xf>
    <xf numFmtId="0" fontId="47" fillId="6" borderId="10" xfId="0" applyFont="1" applyFill="1" applyBorder="1" applyAlignment="1" applyProtection="1">
      <alignment horizontal="center"/>
      <protection locked="0"/>
    </xf>
    <xf numFmtId="0" fontId="47" fillId="6" borderId="4" xfId="0" applyFont="1" applyFill="1" applyBorder="1" applyAlignment="1" applyProtection="1">
      <alignment horizontal="center"/>
      <protection locked="0"/>
    </xf>
    <xf numFmtId="0" fontId="47" fillId="6" borderId="95" xfId="0" applyFont="1" applyFill="1" applyBorder="1" applyAlignment="1" applyProtection="1">
      <alignment horizontal="center"/>
      <protection locked="0"/>
    </xf>
    <xf numFmtId="0" fontId="47" fillId="6" borderId="96" xfId="0" applyFont="1" applyFill="1" applyBorder="1" applyAlignment="1" applyProtection="1">
      <alignment horizontal="center"/>
      <protection locked="0"/>
    </xf>
    <xf numFmtId="168" fontId="41" fillId="2" borderId="6" xfId="0" applyNumberFormat="1" applyFont="1" applyFill="1" applyBorder="1" applyAlignment="1" applyProtection="1">
      <alignment horizontal="center"/>
    </xf>
    <xf numFmtId="0" fontId="6" fillId="2" borderId="0" xfId="0" applyFont="1" applyFill="1" applyBorder="1" applyAlignment="1" applyProtection="1">
      <alignment horizontal="left"/>
      <protection locked="0"/>
    </xf>
    <xf numFmtId="0" fontId="5" fillId="2" borderId="0" xfId="0" applyFont="1" applyFill="1" applyBorder="1" applyAlignment="1" applyProtection="1">
      <alignment horizontal="left"/>
      <protection locked="0"/>
    </xf>
    <xf numFmtId="0" fontId="5" fillId="2" borderId="0" xfId="0" applyFont="1" applyFill="1" applyBorder="1" applyAlignment="1" applyProtection="1">
      <alignment horizontal="left" vertical="center"/>
      <protection locked="0"/>
    </xf>
    <xf numFmtId="169" fontId="0" fillId="2" borderId="1" xfId="0" applyNumberFormat="1" applyFill="1" applyBorder="1" applyAlignment="1" applyProtection="1">
      <alignment horizontal="left" indent="1"/>
    </xf>
    <xf numFmtId="0" fontId="0" fillId="2" borderId="29" xfId="0" applyFill="1" applyBorder="1" applyAlignment="1" applyProtection="1">
      <alignment horizontal="left" indent="1"/>
    </xf>
    <xf numFmtId="167" fontId="0" fillId="2" borderId="29" xfId="0" applyNumberFormat="1" applyFill="1" applyBorder="1" applyAlignment="1" applyProtection="1">
      <alignment horizontal="left" indent="1"/>
    </xf>
    <xf numFmtId="1" fontId="0" fillId="2" borderId="29" xfId="0" applyNumberFormat="1" applyFill="1" applyBorder="1" applyAlignment="1" applyProtection="1">
      <alignment horizontal="left" indent="1"/>
    </xf>
    <xf numFmtId="0" fontId="12" fillId="2" borderId="0" xfId="0" applyFont="1" applyFill="1" applyAlignment="1" applyProtection="1">
      <alignment horizontal="left" vertical="top" wrapText="1"/>
      <protection locked="0"/>
    </xf>
    <xf numFmtId="0" fontId="7" fillId="6" borderId="64" xfId="0" applyFont="1" applyFill="1" applyBorder="1" applyAlignment="1" applyProtection="1">
      <alignment vertical="center"/>
      <protection locked="0"/>
    </xf>
    <xf numFmtId="0" fontId="7" fillId="6" borderId="65" xfId="0" applyFont="1" applyFill="1" applyBorder="1" applyAlignment="1" applyProtection="1">
      <alignment vertical="center"/>
      <protection locked="0"/>
    </xf>
    <xf numFmtId="3" fontId="41" fillId="2" borderId="6" xfId="0" applyNumberFormat="1" applyFont="1" applyFill="1" applyBorder="1" applyAlignment="1" applyProtection="1">
      <alignment horizontal="center"/>
    </xf>
    <xf numFmtId="0" fontId="6" fillId="3" borderId="103" xfId="0" applyFont="1" applyFill="1" applyBorder="1" applyAlignment="1" applyProtection="1">
      <alignment horizontal="center" vertical="center"/>
    </xf>
    <xf numFmtId="0" fontId="6" fillId="3" borderId="18" xfId="0" applyFont="1" applyFill="1" applyBorder="1" applyAlignment="1" applyProtection="1">
      <alignment horizontal="center" vertical="center"/>
    </xf>
    <xf numFmtId="0" fontId="6" fillId="3" borderId="19" xfId="0" applyFont="1" applyFill="1" applyBorder="1" applyAlignment="1" applyProtection="1">
      <alignment horizontal="center" vertical="center"/>
    </xf>
    <xf numFmtId="0" fontId="6" fillId="3" borderId="59" xfId="0" applyFont="1" applyFill="1" applyBorder="1" applyAlignment="1" applyProtection="1">
      <alignment horizontal="center" vertical="center"/>
    </xf>
    <xf numFmtId="0" fontId="6" fillId="3" borderId="0" xfId="0" applyFont="1" applyFill="1" applyBorder="1" applyAlignment="1" applyProtection="1">
      <alignment horizontal="center" vertical="center"/>
    </xf>
    <xf numFmtId="0" fontId="6" fillId="3" borderId="16" xfId="0" applyFont="1" applyFill="1" applyBorder="1" applyAlignment="1" applyProtection="1">
      <alignment horizontal="center" vertical="center"/>
    </xf>
    <xf numFmtId="0" fontId="6" fillId="3" borderId="60" xfId="0" applyFont="1" applyFill="1" applyBorder="1" applyAlignment="1" applyProtection="1">
      <alignment horizontal="center" vertical="center"/>
    </xf>
    <xf numFmtId="0" fontId="6" fillId="3" borderId="56" xfId="0" applyFont="1" applyFill="1" applyBorder="1" applyAlignment="1" applyProtection="1">
      <alignment horizontal="center" vertical="center"/>
    </xf>
    <xf numFmtId="0" fontId="6" fillId="3" borderId="104" xfId="0" applyFont="1" applyFill="1" applyBorder="1" applyAlignment="1" applyProtection="1">
      <alignment horizontal="center" vertical="center"/>
    </xf>
    <xf numFmtId="0" fontId="7" fillId="6" borderId="93" xfId="0" applyFont="1" applyFill="1" applyBorder="1" applyAlignment="1" applyProtection="1">
      <alignment horizontal="center" vertical="center"/>
      <protection locked="0"/>
    </xf>
    <xf numFmtId="0" fontId="7" fillId="6" borderId="94" xfId="0" applyFont="1" applyFill="1" applyBorder="1" applyAlignment="1" applyProtection="1">
      <alignment horizontal="center" vertical="center"/>
      <protection locked="0"/>
    </xf>
    <xf numFmtId="0" fontId="7" fillId="6" borderId="69" xfId="0" applyFont="1" applyFill="1" applyBorder="1" applyAlignment="1" applyProtection="1">
      <alignment horizontal="center" vertical="center"/>
      <protection locked="0"/>
    </xf>
    <xf numFmtId="0" fontId="7" fillId="6" borderId="70" xfId="0" applyFont="1" applyFill="1" applyBorder="1" applyAlignment="1" applyProtection="1">
      <alignment horizontal="center" vertical="center"/>
      <protection locked="0"/>
    </xf>
    <xf numFmtId="0" fontId="7" fillId="6" borderId="96" xfId="0" applyFont="1" applyFill="1" applyBorder="1" applyAlignment="1" applyProtection="1">
      <alignment horizontal="center" vertical="center"/>
      <protection locked="0"/>
    </xf>
    <xf numFmtId="0" fontId="6" fillId="3" borderId="114" xfId="0" applyFont="1" applyFill="1" applyBorder="1" applyAlignment="1" applyProtection="1">
      <alignment horizontal="left" vertical="top" wrapText="1"/>
    </xf>
    <xf numFmtId="0" fontId="6" fillId="3" borderId="115" xfId="0" applyFont="1" applyFill="1" applyBorder="1" applyAlignment="1" applyProtection="1">
      <alignment horizontal="left" vertical="top" wrapText="1"/>
    </xf>
    <xf numFmtId="0" fontId="6" fillId="3" borderId="0" xfId="0" applyFont="1" applyFill="1" applyBorder="1" applyAlignment="1" applyProtection="1">
      <alignment horizontal="left" vertical="top" wrapText="1"/>
    </xf>
    <xf numFmtId="0" fontId="6" fillId="3" borderId="110" xfId="0" applyFont="1" applyFill="1" applyBorder="1" applyAlignment="1" applyProtection="1">
      <alignment horizontal="left" vertical="top" wrapText="1"/>
    </xf>
    <xf numFmtId="0" fontId="6" fillId="3" borderId="116" xfId="0" applyFont="1" applyFill="1" applyBorder="1" applyAlignment="1" applyProtection="1">
      <alignment horizontal="left" vertical="top" wrapText="1"/>
    </xf>
    <xf numFmtId="0" fontId="6" fillId="3" borderId="112" xfId="0" applyFont="1" applyFill="1" applyBorder="1" applyAlignment="1" applyProtection="1">
      <alignment horizontal="left" vertical="top" wrapText="1"/>
    </xf>
    <xf numFmtId="0" fontId="1" fillId="6" borderId="107" xfId="0" applyFont="1" applyFill="1" applyBorder="1" applyAlignment="1" applyProtection="1">
      <alignment horizontal="center"/>
    </xf>
    <xf numFmtId="0" fontId="1" fillId="6" borderId="108" xfId="0" applyFont="1" applyFill="1" applyBorder="1" applyAlignment="1" applyProtection="1">
      <alignment horizontal="center"/>
    </xf>
    <xf numFmtId="0" fontId="41" fillId="0" borderId="0" xfId="0" applyFont="1" applyAlignment="1" applyProtection="1">
      <alignment horizontal="left" vertical="top" wrapText="1"/>
    </xf>
    <xf numFmtId="0" fontId="5" fillId="6" borderId="0" xfId="0" applyFont="1" applyFill="1" applyAlignment="1" applyProtection="1">
      <alignment vertical="center"/>
    </xf>
    <xf numFmtId="1" fontId="83" fillId="3" borderId="0" xfId="0" applyNumberFormat="1" applyFont="1" applyFill="1" applyBorder="1" applyAlignment="1">
      <alignment horizontal="left" vertical="top" shrinkToFit="1"/>
    </xf>
    <xf numFmtId="1" fontId="83" fillId="3" borderId="53" xfId="0" applyNumberFormat="1" applyFont="1" applyFill="1" applyBorder="1" applyAlignment="1">
      <alignment horizontal="left" vertical="top" shrinkToFit="1"/>
    </xf>
    <xf numFmtId="1" fontId="0" fillId="2" borderId="81" xfId="0" applyNumberFormat="1" applyFill="1" applyBorder="1" applyAlignment="1">
      <alignment horizontal="center" vertical="center"/>
    </xf>
  </cellXfs>
  <cellStyles count="522">
    <cellStyle name="=C:\WINNT\SYSTEM32\COMMAND.COM" xfId="71"/>
    <cellStyle name="Calc Currency (0)" xfId="72"/>
    <cellStyle name="Calc Currency (2)" xfId="73"/>
    <cellStyle name="Calc Percent (0)" xfId="74"/>
    <cellStyle name="Calc Percent (1)" xfId="75"/>
    <cellStyle name="Calc Percent (2)" xfId="76"/>
    <cellStyle name="Calc Units (0)" xfId="77"/>
    <cellStyle name="Calc Units (1)" xfId="78"/>
    <cellStyle name="Calc Units (2)"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0]" xfId="88"/>
    <cellStyle name="Comma 2" xfId="68"/>
    <cellStyle name="Currency [00]" xfId="89"/>
    <cellStyle name="Currency 2" xfId="70"/>
    <cellStyle name="Date Short" xfId="90"/>
    <cellStyle name="Enter Currency (0)" xfId="91"/>
    <cellStyle name="Enter Currency (2)" xfId="92"/>
    <cellStyle name="Enter Units (0)" xfId="93"/>
    <cellStyle name="Enter Units (1)" xfId="94"/>
    <cellStyle name="Enter Units (2)" xfId="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Header1" xfId="96"/>
    <cellStyle name="Header2" xfId="97"/>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2" xfId="98"/>
    <cellStyle name="Hyperlink 2 2" xfId="99"/>
    <cellStyle name="Hyperlink 2 3" xfId="100"/>
    <cellStyle name="Hyperlink 3" xfId="101"/>
    <cellStyle name="Link Currency (0)" xfId="102"/>
    <cellStyle name="Link Currency (2)" xfId="103"/>
    <cellStyle name="Link Units (0)" xfId="104"/>
    <cellStyle name="Link Units (1)" xfId="105"/>
    <cellStyle name="Link Units (2)" xfId="106"/>
    <cellStyle name="Normal" xfId="0" builtinId="0"/>
    <cellStyle name="Normal - Style1" xfId="107"/>
    <cellStyle name="Normal 2" xfId="67"/>
    <cellStyle name="Normal 2 2" xfId="108"/>
    <cellStyle name="Normal 2 3" xfId="109"/>
    <cellStyle name="Normal 3" xfId="110"/>
    <cellStyle name="Normal 3 2" xfId="111"/>
    <cellStyle name="Normal 4" xfId="112"/>
    <cellStyle name="Normal 5" xfId="113"/>
    <cellStyle name="Normal 6" xfId="114"/>
    <cellStyle name="Normal 7" xfId="115"/>
    <cellStyle name="Normal 8" xfId="116"/>
    <cellStyle name="Normal 9" xfId="117"/>
    <cellStyle name="Percent [0]" xfId="118"/>
    <cellStyle name="Percent [00]" xfId="119"/>
    <cellStyle name="Percent 2" xfId="69"/>
    <cellStyle name="Percent 2 2" xfId="120"/>
    <cellStyle name="Percent 2 3" xfId="121"/>
    <cellStyle name="Percent 3" xfId="122"/>
    <cellStyle name="PrePop Currency (0)" xfId="123"/>
    <cellStyle name="PrePop Currency (2)" xfId="124"/>
    <cellStyle name="PrePop Units (0)" xfId="125"/>
    <cellStyle name="PrePop Units (1)" xfId="126"/>
    <cellStyle name="PrePop Units (2)" xfId="127"/>
    <cellStyle name="Standard_ASCIIausD" xfId="128"/>
    <cellStyle name="Style 1" xfId="129"/>
    <cellStyle name="Text Indent A" xfId="130"/>
    <cellStyle name="Text Indent B" xfId="131"/>
    <cellStyle name="Text Indent C" xfId="132"/>
    <cellStyle name="콤마 [0]_VERA" xfId="133"/>
    <cellStyle name="콤마_VERA" xfId="134"/>
    <cellStyle name="하이퍼링크_VERA" xfId="135"/>
  </cellStyles>
  <dxfs count="0"/>
  <tableStyles count="0" defaultTableStyle="TableStyleMedium9" defaultPivotStyle="PivotStyleMedium4"/>
  <colors>
    <mruColors>
      <color rgb="FFFFFFCC"/>
      <color rgb="FF295AAA"/>
      <color rgb="FF1431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1178560</xdr:colOff>
      <xdr:row>0</xdr:row>
      <xdr:rowOff>116151</xdr:rowOff>
    </xdr:from>
    <xdr:to>
      <xdr:col>10</xdr:col>
      <xdr:colOff>170180</xdr:colOff>
      <xdr:row>0</xdr:row>
      <xdr:rowOff>767768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03410" y="116151"/>
          <a:ext cx="2792095" cy="651617"/>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2682240</xdr:colOff>
      <xdr:row>0</xdr:row>
      <xdr:rowOff>97631</xdr:rowOff>
    </xdr:from>
    <xdr:to>
      <xdr:col>8</xdr:col>
      <xdr:colOff>317053</xdr:colOff>
      <xdr:row>0</xdr:row>
      <xdr:rowOff>781599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59140" y="97631"/>
          <a:ext cx="2930713" cy="683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690880</xdr:colOff>
      <xdr:row>0</xdr:row>
      <xdr:rowOff>115780</xdr:rowOff>
    </xdr:from>
    <xdr:to>
      <xdr:col>11</xdr:col>
      <xdr:colOff>692728</xdr:colOff>
      <xdr:row>0</xdr:row>
      <xdr:rowOff>768947</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00880" y="115780"/>
          <a:ext cx="2798734" cy="653167"/>
        </a:xfrm>
        <a:prstGeom prst="rect">
          <a:avLst/>
        </a:prstGeom>
        <a:ln>
          <a:noFill/>
        </a:ln>
      </xdr:spPr>
    </xdr:pic>
    <xdr:clientData/>
  </xdr:twoCellAnchor>
  <xdr:twoCellAnchor>
    <xdr:from>
      <xdr:col>13</xdr:col>
      <xdr:colOff>15240</xdr:colOff>
      <xdr:row>2</xdr:row>
      <xdr:rowOff>0</xdr:rowOff>
    </xdr:from>
    <xdr:to>
      <xdr:col>20</xdr:col>
      <xdr:colOff>812800</xdr:colOff>
      <xdr:row>16</xdr:row>
      <xdr:rowOff>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7559040" y="1181100"/>
          <a:ext cx="6728460" cy="31242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latin typeface="+mn-lt"/>
              <a:cs typeface="Calibri"/>
            </a:rPr>
            <a:t>Estimate Costs</a:t>
          </a:r>
          <a:endParaRPr lang="en-US" sz="1200" b="1" u="sng" baseline="0">
            <a:latin typeface="+mn-lt"/>
            <a:cs typeface="Calibri"/>
          </a:endParaRPr>
        </a:p>
        <a:p>
          <a:r>
            <a:rPr lang="en-US" sz="1200" b="0" u="none">
              <a:latin typeface="+mn-lt"/>
              <a:cs typeface="Calibri"/>
            </a:rPr>
            <a:t>Pricing will vary based on what type of contractors you get quotes back from. Prices will also vary based on the type materials (low end/high end) you ultimately choose to install. As you start to regularly work with certain contractors you will want to update this repair estimator twice a year based on who you work with and what prices you are able to negotiate. You always want to negotiate quotes you get back and shoot for wholesale pricing.</a:t>
          </a:r>
        </a:p>
        <a:p>
          <a:endParaRPr lang="en-US" sz="1200" b="0" u="none">
            <a:latin typeface="+mn-lt"/>
            <a:cs typeface="Calibri"/>
          </a:endParaRPr>
        </a:p>
        <a:p>
          <a:r>
            <a:rPr lang="en-US" sz="1200" b="1" u="sng">
              <a:latin typeface="+mn-lt"/>
              <a:cs typeface="Calibri"/>
            </a:rPr>
            <a:t>Customizing</a:t>
          </a:r>
          <a:r>
            <a:rPr lang="en-US" sz="1200" b="1" u="sng" baseline="0">
              <a:latin typeface="+mn-lt"/>
              <a:cs typeface="Calibri"/>
            </a:rPr>
            <a:t> the Repair Estimator</a:t>
          </a:r>
          <a:endParaRPr lang="en-US" sz="1200" b="1" u="sng">
            <a:latin typeface="+mn-lt"/>
            <a:cs typeface="Calibri"/>
          </a:endParaRPr>
        </a:p>
        <a:p>
          <a:r>
            <a:rPr lang="en-US" sz="1200" b="0" u="none">
              <a:latin typeface="+mn-lt"/>
              <a:cs typeface="Calibri"/>
            </a:rPr>
            <a:t>This worksheet is locked to protect the</a:t>
          </a:r>
          <a:r>
            <a:rPr lang="en-US" sz="1200" b="0" u="none" baseline="0">
              <a:latin typeface="+mn-lt"/>
              <a:cs typeface="Calibri"/>
            </a:rPr>
            <a:t> formulas and </a:t>
          </a:r>
          <a:r>
            <a:rPr lang="en-US" sz="1200" b="0" u="none">
              <a:latin typeface="+mn-lt"/>
              <a:cs typeface="Calibri"/>
            </a:rPr>
            <a:t>printer-friendly formatting.</a:t>
          </a:r>
          <a:r>
            <a:rPr lang="en-US" sz="1200" b="0" u="none" baseline="0">
              <a:latin typeface="+mn-lt"/>
              <a:cs typeface="Calibri"/>
            </a:rPr>
            <a:t>  To customize the worksheet you can easily unprotect the document by going to Tools &gt; Protection &gt; Unprotect Sheet.</a:t>
          </a:r>
        </a:p>
        <a:p>
          <a:endParaRPr lang="en-US" sz="1200" b="0" u="none" baseline="0">
            <a:latin typeface="+mn-lt"/>
            <a:cs typeface="Calibri"/>
          </a:endParaRPr>
        </a:p>
        <a:p>
          <a:r>
            <a:rPr lang="en-US" sz="1200" b="0" u="none" baseline="0">
              <a:latin typeface="+mn-lt"/>
              <a:cs typeface="Calibri"/>
            </a:rPr>
            <a:t>To rebrand the worksheet with your logo, right click the FB logo and select "Change Picture...". </a:t>
          </a:r>
        </a:p>
        <a:p>
          <a:endParaRPr lang="en-US" sz="1200" b="0" u="none">
            <a:latin typeface="+mn-lt"/>
            <a:cs typeface="Calibri"/>
          </a:endParaRPr>
        </a:p>
        <a:p>
          <a:r>
            <a:rPr lang="en-US" sz="1200" b="1" u="sng">
              <a:latin typeface="+mn-lt"/>
              <a:cs typeface="Calibri"/>
            </a:rPr>
            <a:t>Unit Abbreviations</a:t>
          </a:r>
        </a:p>
        <a:p>
          <a:r>
            <a:rPr lang="en-US" sz="1200" b="0" u="none">
              <a:latin typeface="+mn-lt"/>
              <a:cs typeface="Calibri"/>
            </a:rPr>
            <a:t>ea = each | lf = linear feet | ls = lump sum | sf = square feet | psf = property sq ft | sy = square yards</a:t>
          </a:r>
        </a:p>
        <a:p>
          <a:endParaRPr lang="en-US" sz="1200" b="0" u="none">
            <a:latin typeface="+mn-lt"/>
            <a:cs typeface="Calibri"/>
          </a:endParaRPr>
        </a:p>
        <a:p>
          <a:endParaRPr lang="en-US" sz="1200" b="0" u="none">
            <a:latin typeface="+mn-lt"/>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0</xdr:col>
          <xdr:colOff>295275</xdr:colOff>
          <xdr:row>5</xdr:row>
          <xdr:rowOff>9525</xdr:rowOff>
        </xdr:from>
        <xdr:to>
          <xdr:col>1</xdr:col>
          <xdr:colOff>47625</xdr:colOff>
          <xdr:row>5</xdr:row>
          <xdr:rowOff>238125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0</xdr:col>
      <xdr:colOff>548640</xdr:colOff>
      <xdr:row>5</xdr:row>
      <xdr:rowOff>48334</xdr:rowOff>
    </xdr:from>
    <xdr:ext cx="751840" cy="153888"/>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548640" y="2105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Mold</a:t>
          </a:r>
        </a:p>
      </xdr:txBody>
    </xdr:sp>
    <xdr:clientData/>
  </xdr:oneCellAnchor>
  <mc:AlternateContent xmlns:mc="http://schemas.openxmlformats.org/markup-compatibility/2006">
    <mc:Choice xmlns:a14="http://schemas.microsoft.com/office/drawing/2010/main" Requires="a14">
      <xdr:twoCellAnchor editAs="oneCell">
        <xdr:from>
          <xdr:col>1</xdr:col>
          <xdr:colOff>333375</xdr:colOff>
          <xdr:row>5</xdr:row>
          <xdr:rowOff>9525</xdr:rowOff>
        </xdr:from>
        <xdr:to>
          <xdr:col>2</xdr:col>
          <xdr:colOff>76200</xdr:colOff>
          <xdr:row>5</xdr:row>
          <xdr:rowOff>238125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589280</xdr:colOff>
      <xdr:row>5</xdr:row>
      <xdr:rowOff>48334</xdr:rowOff>
    </xdr:from>
    <xdr:ext cx="751840" cy="153888"/>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224280" y="2105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Permit Check</a:t>
          </a:r>
        </a:p>
      </xdr:txBody>
    </xdr:sp>
    <xdr:clientData/>
  </xdr:oneCellAnchor>
  <mc:AlternateContent xmlns:mc="http://schemas.openxmlformats.org/markup-compatibility/2006">
    <mc:Choice xmlns:a14="http://schemas.microsoft.com/office/drawing/2010/main" Requires="a14">
      <xdr:twoCellAnchor editAs="oneCell">
        <xdr:from>
          <xdr:col>3</xdr:col>
          <xdr:colOff>381000</xdr:colOff>
          <xdr:row>5</xdr:row>
          <xdr:rowOff>9525</xdr:rowOff>
        </xdr:from>
        <xdr:to>
          <xdr:col>4</xdr:col>
          <xdr:colOff>190500</xdr:colOff>
          <xdr:row>5</xdr:row>
          <xdr:rowOff>238125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3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71120</xdr:colOff>
      <xdr:row>5</xdr:row>
      <xdr:rowOff>48334</xdr:rowOff>
    </xdr:from>
    <xdr:ext cx="751840" cy="153888"/>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2306320" y="2105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Pool</a:t>
          </a:r>
        </a:p>
      </xdr:txBody>
    </xdr:sp>
    <xdr:clientData/>
  </xdr:oneCellAnchor>
  <mc:AlternateContent xmlns:mc="http://schemas.openxmlformats.org/markup-compatibility/2006">
    <mc:Choice xmlns:a14="http://schemas.microsoft.com/office/drawing/2010/main" Requires="a14">
      <xdr:twoCellAnchor editAs="oneCell">
        <xdr:from>
          <xdr:col>4</xdr:col>
          <xdr:colOff>485775</xdr:colOff>
          <xdr:row>5</xdr:row>
          <xdr:rowOff>9525</xdr:rowOff>
        </xdr:from>
        <xdr:to>
          <xdr:col>4</xdr:col>
          <xdr:colOff>876300</xdr:colOff>
          <xdr:row>5</xdr:row>
          <xdr:rowOff>238125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3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751840</xdr:colOff>
      <xdr:row>5</xdr:row>
      <xdr:rowOff>48334</xdr:rowOff>
    </xdr:from>
    <xdr:ext cx="751840" cy="153888"/>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987040" y="2105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Roof</a:t>
          </a:r>
        </a:p>
      </xdr:txBody>
    </xdr:sp>
    <xdr:clientData/>
  </xdr:oneCellAnchor>
  <mc:AlternateContent xmlns:mc="http://schemas.openxmlformats.org/markup-compatibility/2006">
    <mc:Choice xmlns:a14="http://schemas.microsoft.com/office/drawing/2010/main" Requires="a14">
      <xdr:twoCellAnchor editAs="oneCell">
        <xdr:from>
          <xdr:col>5</xdr:col>
          <xdr:colOff>180975</xdr:colOff>
          <xdr:row>5</xdr:row>
          <xdr:rowOff>9525</xdr:rowOff>
        </xdr:from>
        <xdr:to>
          <xdr:col>5</xdr:col>
          <xdr:colOff>571500</xdr:colOff>
          <xdr:row>5</xdr:row>
          <xdr:rowOff>238125</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3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xdr:col>
      <xdr:colOff>467360</xdr:colOff>
      <xdr:row>5</xdr:row>
      <xdr:rowOff>48334</xdr:rowOff>
    </xdr:from>
    <xdr:ext cx="751840" cy="153888"/>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3693160" y="2105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Septic</a:t>
          </a:r>
          <a:r>
            <a:rPr lang="en-US" sz="1000" baseline="0"/>
            <a:t> System</a:t>
          </a:r>
          <a:endParaRPr lang="en-US" sz="1000"/>
        </a:p>
      </xdr:txBody>
    </xdr:sp>
    <xdr:clientData/>
  </xdr:oneCellAnchor>
  <mc:AlternateContent xmlns:mc="http://schemas.openxmlformats.org/markup-compatibility/2006">
    <mc:Choice xmlns:a14="http://schemas.microsoft.com/office/drawing/2010/main" Requires="a14">
      <xdr:twoCellAnchor editAs="oneCell">
        <xdr:from>
          <xdr:col>6</xdr:col>
          <xdr:colOff>733425</xdr:colOff>
          <xdr:row>5</xdr:row>
          <xdr:rowOff>9525</xdr:rowOff>
        </xdr:from>
        <xdr:to>
          <xdr:col>7</xdr:col>
          <xdr:colOff>142875</xdr:colOff>
          <xdr:row>5</xdr:row>
          <xdr:rowOff>238125</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3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xdr:col>
      <xdr:colOff>20320</xdr:colOff>
      <xdr:row>5</xdr:row>
      <xdr:rowOff>48334</xdr:rowOff>
    </xdr:from>
    <xdr:ext cx="863600" cy="153888"/>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4820920" y="2105734"/>
          <a:ext cx="86360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Sewer</a:t>
          </a:r>
          <a:r>
            <a:rPr lang="en-US" sz="1000" baseline="0"/>
            <a:t> to Street</a:t>
          </a:r>
          <a:endParaRPr lang="en-US" sz="1000"/>
        </a:p>
      </xdr:txBody>
    </xdr:sp>
    <xdr:clientData/>
  </xdr:oneCellAnchor>
  <mc:AlternateContent xmlns:mc="http://schemas.openxmlformats.org/markup-compatibility/2006">
    <mc:Choice xmlns:a14="http://schemas.microsoft.com/office/drawing/2010/main" Requires="a14">
      <xdr:twoCellAnchor editAs="oneCell">
        <xdr:from>
          <xdr:col>9</xdr:col>
          <xdr:colOff>333375</xdr:colOff>
          <xdr:row>5</xdr:row>
          <xdr:rowOff>9525</xdr:rowOff>
        </xdr:from>
        <xdr:to>
          <xdr:col>10</xdr:col>
          <xdr:colOff>333375</xdr:colOff>
          <xdr:row>5</xdr:row>
          <xdr:rowOff>238125</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3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213360</xdr:colOff>
      <xdr:row>5</xdr:row>
      <xdr:rowOff>48334</xdr:rowOff>
    </xdr:from>
    <xdr:ext cx="320040" cy="153888"/>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6004560" y="2105734"/>
          <a:ext cx="3200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Soil</a:t>
          </a:r>
        </a:p>
      </xdr:txBody>
    </xdr:sp>
    <xdr:clientData/>
  </xdr:oneCellAnchor>
  <mc:AlternateContent xmlns:mc="http://schemas.openxmlformats.org/markup-compatibility/2006">
    <mc:Choice xmlns:a14="http://schemas.microsoft.com/office/drawing/2010/main" Requires="a14">
      <xdr:twoCellAnchor editAs="oneCell">
        <xdr:from>
          <xdr:col>10</xdr:col>
          <xdr:colOff>581025</xdr:colOff>
          <xdr:row>5</xdr:row>
          <xdr:rowOff>9525</xdr:rowOff>
        </xdr:from>
        <xdr:to>
          <xdr:col>11</xdr:col>
          <xdr:colOff>228600</xdr:colOff>
          <xdr:row>5</xdr:row>
          <xdr:rowOff>238125</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3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11</xdr:col>
      <xdr:colOff>101600</xdr:colOff>
      <xdr:row>5</xdr:row>
      <xdr:rowOff>48334</xdr:rowOff>
    </xdr:from>
    <xdr:ext cx="320040" cy="153888"/>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6642100" y="2105734"/>
          <a:ext cx="3200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Well</a:t>
          </a:r>
        </a:p>
      </xdr:txBody>
    </xdr:sp>
    <xdr:clientData/>
  </xdr:oneCellAnchor>
  <mc:AlternateContent xmlns:mc="http://schemas.openxmlformats.org/markup-compatibility/2006">
    <mc:Choice xmlns:a14="http://schemas.microsoft.com/office/drawing/2010/main" Requires="a14">
      <xdr:twoCellAnchor editAs="oneCell">
        <xdr:from>
          <xdr:col>0</xdr:col>
          <xdr:colOff>219075</xdr:colOff>
          <xdr:row>4</xdr:row>
          <xdr:rowOff>9525</xdr:rowOff>
        </xdr:from>
        <xdr:to>
          <xdr:col>0</xdr:col>
          <xdr:colOff>609600</xdr:colOff>
          <xdr:row>4</xdr:row>
          <xdr:rowOff>238125</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3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0</xdr:col>
      <xdr:colOff>487680</xdr:colOff>
      <xdr:row>4</xdr:row>
      <xdr:rowOff>48334</xdr:rowOff>
    </xdr:from>
    <xdr:ext cx="751840" cy="153888"/>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487680" y="1851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Asbestos</a:t>
          </a:r>
        </a:p>
      </xdr:txBody>
    </xdr:sp>
    <xdr:clientData/>
  </xdr:oneCellAnchor>
  <mc:AlternateContent xmlns:mc="http://schemas.openxmlformats.org/markup-compatibility/2006">
    <mc:Choice xmlns:a14="http://schemas.microsoft.com/office/drawing/2010/main" Requires="a14">
      <xdr:twoCellAnchor editAs="oneCell">
        <xdr:from>
          <xdr:col>1</xdr:col>
          <xdr:colOff>466725</xdr:colOff>
          <xdr:row>4</xdr:row>
          <xdr:rowOff>9525</xdr:rowOff>
        </xdr:from>
        <xdr:to>
          <xdr:col>2</xdr:col>
          <xdr:colOff>219075</xdr:colOff>
          <xdr:row>4</xdr:row>
          <xdr:rowOff>238125</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3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xdr:col>
      <xdr:colOff>101600</xdr:colOff>
      <xdr:row>4</xdr:row>
      <xdr:rowOff>48334</xdr:rowOff>
    </xdr:from>
    <xdr:ext cx="873760" cy="153888"/>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1371600" y="1851734"/>
          <a:ext cx="87376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Buried Oil Tank</a:t>
          </a:r>
        </a:p>
      </xdr:txBody>
    </xdr:sp>
    <xdr:clientData/>
  </xdr:oneCellAnchor>
  <mc:AlternateContent xmlns:mc="http://schemas.openxmlformats.org/markup-compatibility/2006">
    <mc:Choice xmlns:a14="http://schemas.microsoft.com/office/drawing/2010/main" Requires="a14">
      <xdr:twoCellAnchor editAs="oneCell">
        <xdr:from>
          <xdr:col>4</xdr:col>
          <xdr:colOff>28575</xdr:colOff>
          <xdr:row>4</xdr:row>
          <xdr:rowOff>9525</xdr:rowOff>
        </xdr:from>
        <xdr:to>
          <xdr:col>4</xdr:col>
          <xdr:colOff>419100</xdr:colOff>
          <xdr:row>4</xdr:row>
          <xdr:rowOff>238125</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3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284480</xdr:colOff>
      <xdr:row>4</xdr:row>
      <xdr:rowOff>48334</xdr:rowOff>
    </xdr:from>
    <xdr:ext cx="751840" cy="153888"/>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2519680" y="1851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Fire Damage</a:t>
          </a:r>
        </a:p>
      </xdr:txBody>
    </xdr:sp>
    <xdr:clientData/>
  </xdr:oneCellAnchor>
  <mc:AlternateContent xmlns:mc="http://schemas.openxmlformats.org/markup-compatibility/2006">
    <mc:Choice xmlns:a14="http://schemas.microsoft.com/office/drawing/2010/main" Requires="a14">
      <xdr:twoCellAnchor editAs="oneCell">
        <xdr:from>
          <xdr:col>5</xdr:col>
          <xdr:colOff>47625</xdr:colOff>
          <xdr:row>4</xdr:row>
          <xdr:rowOff>9525</xdr:rowOff>
        </xdr:from>
        <xdr:to>
          <xdr:col>5</xdr:col>
          <xdr:colOff>447675</xdr:colOff>
          <xdr:row>4</xdr:row>
          <xdr:rowOff>238125</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3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xdr:col>
      <xdr:colOff>325120</xdr:colOff>
      <xdr:row>4</xdr:row>
      <xdr:rowOff>48334</xdr:rowOff>
    </xdr:from>
    <xdr:ext cx="1178560" cy="153888"/>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3550920" y="1851734"/>
          <a:ext cx="117856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Foundation/Structural</a:t>
          </a:r>
        </a:p>
      </xdr:txBody>
    </xdr:sp>
    <xdr:clientData/>
  </xdr:oneCellAnchor>
  <mc:AlternateContent xmlns:mc="http://schemas.openxmlformats.org/markup-compatibility/2006">
    <mc:Choice xmlns:a14="http://schemas.microsoft.com/office/drawing/2010/main" Requires="a14">
      <xdr:twoCellAnchor editAs="oneCell">
        <xdr:from>
          <xdr:col>7</xdr:col>
          <xdr:colOff>38100</xdr:colOff>
          <xdr:row>4</xdr:row>
          <xdr:rowOff>9525</xdr:rowOff>
        </xdr:from>
        <xdr:to>
          <xdr:col>8</xdr:col>
          <xdr:colOff>142875</xdr:colOff>
          <xdr:row>4</xdr:row>
          <xdr:rowOff>238125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3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8</xdr:col>
      <xdr:colOff>81280</xdr:colOff>
      <xdr:row>4</xdr:row>
      <xdr:rowOff>48334</xdr:rowOff>
    </xdr:from>
    <xdr:ext cx="894080" cy="153888"/>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5110480" y="1851734"/>
          <a:ext cx="89408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Historical Home</a:t>
          </a:r>
        </a:p>
      </xdr:txBody>
    </xdr:sp>
    <xdr:clientData/>
  </xdr:oneCellAnchor>
  <mc:AlternateContent xmlns:mc="http://schemas.openxmlformats.org/markup-compatibility/2006">
    <mc:Choice xmlns:a14="http://schemas.microsoft.com/office/drawing/2010/main" Requires="a14">
      <xdr:twoCellAnchor editAs="oneCell">
        <xdr:from>
          <xdr:col>10</xdr:col>
          <xdr:colOff>333375</xdr:colOff>
          <xdr:row>4</xdr:row>
          <xdr:rowOff>9525</xdr:rowOff>
        </xdr:from>
        <xdr:to>
          <xdr:col>10</xdr:col>
          <xdr:colOff>723900</xdr:colOff>
          <xdr:row>4</xdr:row>
          <xdr:rowOff>238125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3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599440</xdr:colOff>
      <xdr:row>4</xdr:row>
      <xdr:rowOff>48334</xdr:rowOff>
    </xdr:from>
    <xdr:ext cx="751840" cy="153888"/>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6390640" y="1851734"/>
          <a:ext cx="751840"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 tIns="0" rIns="0" bIns="0" rtlCol="0" anchor="ctr" anchorCtr="0">
          <a:spAutoFit/>
        </a:bodyPr>
        <a:lstStyle/>
        <a:p>
          <a:r>
            <a:rPr lang="en-US" sz="1000"/>
            <a:t>Lead Paint</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30480</xdr:colOff>
      <xdr:row>0</xdr:row>
      <xdr:rowOff>110459</xdr:rowOff>
    </xdr:from>
    <xdr:to>
      <xdr:col>11</xdr:col>
      <xdr:colOff>0</xdr:colOff>
      <xdr:row>0</xdr:row>
      <xdr:rowOff>774269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55275" y="110459"/>
          <a:ext cx="2844339" cy="663810"/>
        </a:xfrm>
        <a:prstGeom prst="rect">
          <a:avLst/>
        </a:prstGeom>
      </xdr:spPr>
    </xdr:pic>
    <xdr:clientData/>
  </xdr:twoCellAnchor>
  <xdr:twoCellAnchor>
    <xdr:from>
      <xdr:col>12</xdr:col>
      <xdr:colOff>10160</xdr:colOff>
      <xdr:row>2</xdr:row>
      <xdr:rowOff>20320</xdr:rowOff>
    </xdr:from>
    <xdr:to>
      <xdr:col>19</xdr:col>
      <xdr:colOff>843280</xdr:colOff>
      <xdr:row>13</xdr:row>
      <xdr:rowOff>50800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7691120" y="1198880"/>
          <a:ext cx="6807200" cy="286512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latin typeface="+mn-lt"/>
              <a:cs typeface="Calibri"/>
            </a:rPr>
            <a:t>Formulas</a:t>
          </a:r>
          <a:r>
            <a:rPr lang="en-US" sz="1200" b="1" u="sng" baseline="0">
              <a:latin typeface="+mn-lt"/>
              <a:cs typeface="Calibri"/>
            </a:rPr>
            <a:t> and Data</a:t>
          </a:r>
        </a:p>
        <a:p>
          <a:r>
            <a:rPr lang="en-US" sz="1200" b="0" u="none">
              <a:latin typeface="+mn-lt"/>
              <a:cs typeface="Calibri"/>
            </a:rPr>
            <a:t>The</a:t>
          </a:r>
          <a:r>
            <a:rPr lang="en-US" sz="1200" b="0" u="none" baseline="0">
              <a:latin typeface="+mn-lt"/>
              <a:cs typeface="Calibri"/>
            </a:rPr>
            <a:t> Investment Summary generates property and investment data from the Deal Analyzer and Repair Estimator. </a:t>
          </a:r>
        </a:p>
        <a:p>
          <a:endParaRPr lang="en-US" sz="1200" b="0" u="none">
            <a:latin typeface="+mn-lt"/>
            <a:cs typeface="Calibri"/>
          </a:endParaRPr>
        </a:p>
        <a:p>
          <a:r>
            <a:rPr lang="en-US" sz="1200" b="1" u="sng">
              <a:latin typeface="+mn-lt"/>
              <a:cs typeface="Calibri"/>
            </a:rPr>
            <a:t>Customizing</a:t>
          </a:r>
          <a:r>
            <a:rPr lang="en-US" sz="1200" b="1" u="sng" baseline="0">
              <a:latin typeface="+mn-lt"/>
              <a:cs typeface="Calibri"/>
            </a:rPr>
            <a:t> the Investment Summary</a:t>
          </a:r>
          <a:endParaRPr lang="en-US" sz="1200" b="1" u="sng">
            <a:latin typeface="+mn-lt"/>
            <a:cs typeface="Calibri"/>
          </a:endParaRPr>
        </a:p>
        <a:p>
          <a:r>
            <a:rPr lang="en-US" sz="1200" b="0" u="none">
              <a:latin typeface="+mn-lt"/>
              <a:cs typeface="Calibri"/>
            </a:rPr>
            <a:t>This worksheet is locked to protect the</a:t>
          </a:r>
          <a:r>
            <a:rPr lang="en-US" sz="1200" b="0" u="none" baseline="0">
              <a:latin typeface="+mn-lt"/>
              <a:cs typeface="Calibri"/>
            </a:rPr>
            <a:t> formulas and </a:t>
          </a:r>
          <a:r>
            <a:rPr lang="en-US" sz="1200" b="0" u="none">
              <a:latin typeface="+mn-lt"/>
              <a:cs typeface="Calibri"/>
            </a:rPr>
            <a:t>printer-friendly formatting.</a:t>
          </a:r>
          <a:r>
            <a:rPr lang="en-US" sz="1200" b="0" u="none" baseline="0">
              <a:latin typeface="+mn-lt"/>
              <a:cs typeface="Calibri"/>
            </a:rPr>
            <a:t>  To customize the worksheet you can easily unprotect the document by going to Tools &gt; Protection &gt; Unprotect Sheet.</a:t>
          </a:r>
        </a:p>
        <a:p>
          <a:endParaRPr lang="en-US" sz="1200" b="0" u="none" baseline="0">
            <a:latin typeface="+mn-lt"/>
            <a:cs typeface="Calibri"/>
          </a:endParaRPr>
        </a:p>
        <a:p>
          <a:r>
            <a:rPr lang="en-US" sz="1200" b="0" u="none" baseline="0">
              <a:latin typeface="+mn-lt"/>
              <a:cs typeface="Calibri"/>
            </a:rPr>
            <a:t>To rebrand the worksheet with your logo, right click the FB logo and select "Change Picture...". </a:t>
          </a:r>
        </a:p>
        <a:p>
          <a:endParaRPr lang="en-US" sz="1200" b="0" u="none">
            <a:latin typeface="+mn-lt"/>
            <a:cs typeface="Calibri"/>
          </a:endParaRPr>
        </a:p>
        <a:p>
          <a:endParaRPr lang="en-US" sz="1200" b="0" u="none">
            <a:latin typeface="+mn-lt"/>
            <a:cs typeface="Calibri"/>
          </a:endParaRPr>
        </a:p>
        <a:p>
          <a:endParaRPr lang="en-US" sz="1200" b="0" u="none">
            <a:latin typeface="+mn-lt"/>
            <a:cs typeface="Calibri"/>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edMC/Library/Application%20Support/Microsoft/Office/Office%202011%20AutoRecovery/Product%20plan%202009-10-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lications/Microsoft%20Office%202011/Microsoft%20Excel.app/Contents/MacOS/Project%20Managem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TedMC/Library/Application%20Support/Microsoft/Office/Office%202011%20AutoRecovery/RealeFlow%20Roadmap%20Aug-13%20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ileron/Desktop/FortuneBuilders/Atlas%20Operational%20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ileron/Library/Application%20Support/Microsoft/Office/Office%202011%20AutoRecovery/FortuneBuilders/Atlas%20Operational%20Pl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emp/MeghanandSuratkal/Temporary%20Internet%20Files/OLKB/GCS_Release_Management_Plan_2008%2011%2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Lis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idays"/>
      <sheetName val="Roadmap"/>
      <sheetName val="GANTT"/>
      <sheetName val="PM"/>
      <sheetName val="Action Log"/>
      <sheetName val="Feedback"/>
      <sheetName val="Modules"/>
      <sheetName val="Schedule"/>
      <sheetName val="JUN"/>
      <sheetName val="JUL"/>
      <sheetName val="AUG"/>
      <sheetName val="SEP"/>
      <sheetName val="OCT"/>
      <sheetName val="NOV"/>
      <sheetName val="Earned Value Calc"/>
      <sheetName val="Legend"/>
      <sheetName val="6-1 Update"/>
      <sheetName val="7-1 Update"/>
      <sheetName val="Tickets"/>
      <sheetName val="Bugs"/>
      <sheetName val="Complaints"/>
      <sheetName val="Change Log"/>
      <sheetName val="Dependencies"/>
    </sheetNames>
    <sheetDataSet>
      <sheetData sheetId="0" refreshError="1">
        <row r="10">
          <cell r="A10" t="str">
            <v>Date</v>
          </cell>
        </row>
        <row r="11">
          <cell r="A11">
            <v>40179</v>
          </cell>
        </row>
        <row r="12">
          <cell r="A12">
            <v>40544</v>
          </cell>
        </row>
        <row r="13">
          <cell r="A13">
            <v>40537</v>
          </cell>
        </row>
        <row r="14">
          <cell r="A14">
            <v>40537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 Issu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 Issue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Release Action Items List"/>
      <sheetName val="How To Id Risks"/>
      <sheetName val="Nov Release Project List"/>
      <sheetName val="Product Walk Throughs"/>
      <sheetName val="Core Team"/>
      <sheetName val="Distribution Lists"/>
      <sheetName val="Go or No Go"/>
      <sheetName val="Agent Ready Action Items List"/>
      <sheetName val="Risk Register"/>
      <sheetName val="Ops Assessment"/>
      <sheetName val="Contigency Plan"/>
      <sheetName val="Comm Plan"/>
      <sheetName val="UAT &amp; PAT Plan"/>
      <sheetName val="UAT Tracking"/>
      <sheetName val="PAT Tracking"/>
      <sheetName val="Queries &amp; Responses"/>
      <sheetName val="Release Survey Results"/>
    </sheetNames>
    <sheetDataSet>
      <sheetData sheetId="0" refreshError="1">
        <row r="5">
          <cell r="E5" t="str">
            <v>Launch Date</v>
          </cell>
        </row>
        <row r="6">
          <cell r="E6" t="str">
            <v>Priority</v>
          </cell>
        </row>
        <row r="7">
          <cell r="E7" t="str">
            <v>Medium</v>
          </cell>
        </row>
        <row r="8">
          <cell r="E8" t="str">
            <v>Medium</v>
          </cell>
        </row>
        <row r="9">
          <cell r="E9" t="str">
            <v>Medium</v>
          </cell>
        </row>
        <row r="10">
          <cell r="E10" t="str">
            <v>Medium</v>
          </cell>
        </row>
        <row r="11">
          <cell r="E11" t="str">
            <v>Medium</v>
          </cell>
        </row>
        <row r="12">
          <cell r="E12" t="str">
            <v>Medium</v>
          </cell>
        </row>
        <row r="13">
          <cell r="E13" t="str">
            <v>Medium</v>
          </cell>
        </row>
        <row r="14">
          <cell r="E14" t="str">
            <v>Medium</v>
          </cell>
        </row>
        <row r="15">
          <cell r="E15" t="str">
            <v>High</v>
          </cell>
        </row>
        <row r="16">
          <cell r="E16" t="str">
            <v>Medium</v>
          </cell>
        </row>
        <row r="17">
          <cell r="E17" t="str">
            <v>High</v>
          </cell>
        </row>
        <row r="18">
          <cell r="E18" t="str">
            <v>High</v>
          </cell>
        </row>
        <row r="19">
          <cell r="E19" t="str">
            <v>High</v>
          </cell>
        </row>
        <row r="20">
          <cell r="E20" t="str">
            <v>High</v>
          </cell>
        </row>
        <row r="21">
          <cell r="E21" t="str">
            <v>Medium</v>
          </cell>
        </row>
        <row r="22">
          <cell r="E22" t="str">
            <v>Medium</v>
          </cell>
        </row>
        <row r="23">
          <cell r="E23" t="str">
            <v>High</v>
          </cell>
        </row>
        <row r="24">
          <cell r="E24" t="str">
            <v>Medium</v>
          </cell>
        </row>
        <row r="25">
          <cell r="E25" t="str">
            <v>Medium</v>
          </cell>
        </row>
        <row r="26">
          <cell r="E26" t="str">
            <v>High</v>
          </cell>
        </row>
        <row r="27">
          <cell r="E27" t="str">
            <v>Medium</v>
          </cell>
        </row>
        <row r="28">
          <cell r="E28" t="str">
            <v>High</v>
          </cell>
        </row>
        <row r="29">
          <cell r="E29" t="str">
            <v>High</v>
          </cell>
        </row>
        <row r="30">
          <cell r="E30" t="str">
            <v>High</v>
          </cell>
        </row>
        <row r="31">
          <cell r="E31" t="str">
            <v>Medium</v>
          </cell>
        </row>
        <row r="32">
          <cell r="E32" t="str">
            <v>High</v>
          </cell>
        </row>
        <row r="33">
          <cell r="E33" t="str">
            <v>High</v>
          </cell>
        </row>
        <row r="34">
          <cell r="E34" t="str">
            <v>High</v>
          </cell>
        </row>
        <row r="35">
          <cell r="E35" t="str">
            <v>Medium</v>
          </cell>
        </row>
        <row r="36">
          <cell r="E36" t="str">
            <v>High</v>
          </cell>
        </row>
        <row r="37">
          <cell r="E37" t="str">
            <v>Medium</v>
          </cell>
        </row>
        <row r="38">
          <cell r="E38" t="str">
            <v>High</v>
          </cell>
        </row>
        <row r="39">
          <cell r="E39" t="str">
            <v>Medium</v>
          </cell>
        </row>
        <row r="40">
          <cell r="E40" t="str">
            <v>High</v>
          </cell>
        </row>
        <row r="41">
          <cell r="E41" t="str">
            <v>High</v>
          </cell>
        </row>
        <row r="42">
          <cell r="E42" t="str">
            <v>High</v>
          </cell>
        </row>
        <row r="43">
          <cell r="E43" t="str">
            <v>Medium</v>
          </cell>
        </row>
        <row r="44">
          <cell r="E44" t="str">
            <v>Medium</v>
          </cell>
        </row>
        <row r="45">
          <cell r="E45" t="str">
            <v>Medium</v>
          </cell>
        </row>
        <row r="46">
          <cell r="E46" t="str">
            <v>Medium</v>
          </cell>
        </row>
        <row r="47">
          <cell r="E47" t="str">
            <v>High</v>
          </cell>
        </row>
        <row r="48">
          <cell r="E48" t="str">
            <v>High</v>
          </cell>
        </row>
        <row r="49">
          <cell r="E49" t="str">
            <v>High</v>
          </cell>
        </row>
        <row r="50">
          <cell r="E50" t="str">
            <v>Medium</v>
          </cell>
        </row>
        <row r="51">
          <cell r="E51" t="str">
            <v>Medium</v>
          </cell>
        </row>
        <row r="52">
          <cell r="E52" t="str">
            <v>Medium</v>
          </cell>
        </row>
        <row r="53">
          <cell r="E53" t="str">
            <v>Medium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ctrlProp" Target="../ctrlProps/ctrlProp14.xml"/><Relationship Id="rId1" Type="http://schemas.openxmlformats.org/officeDocument/2006/relationships/drawing" Target="../drawings/drawing3.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120"/>
  <sheetViews>
    <sheetView showGridLines="0" tabSelected="1" topLeftCell="A25" workbookViewId="0">
      <selection activeCell="C44" sqref="C44"/>
    </sheetView>
  </sheetViews>
  <sheetFormatPr defaultColWidth="11" defaultRowHeight="15.75"/>
  <cols>
    <col min="1" max="1" width="2.375" customWidth="1"/>
    <col min="2" max="2" width="31.875" customWidth="1"/>
    <col min="3" max="3" width="18" customWidth="1"/>
    <col min="4" max="4" width="2.375" customWidth="1"/>
    <col min="5" max="5" width="31.875" customWidth="1"/>
    <col min="6" max="6" width="2.375" style="143" customWidth="1"/>
    <col min="7" max="7" width="18" customWidth="1"/>
    <col min="8" max="8" width="2.375" customWidth="1"/>
    <col min="9" max="9" width="31.875" customWidth="1"/>
    <col min="10" max="10" width="18" customWidth="1"/>
    <col min="11" max="11" width="2.375" customWidth="1"/>
    <col min="34" max="34" width="14.625" bestFit="1" customWidth="1"/>
  </cols>
  <sheetData>
    <row r="1" spans="1:40" s="21" customFormat="1" ht="72" customHeight="1" thickBot="1">
      <c r="A1" s="1"/>
      <c r="B1" s="1" t="s">
        <v>397</v>
      </c>
      <c r="C1" s="2"/>
      <c r="D1" s="2"/>
      <c r="E1" s="2"/>
      <c r="F1" s="17"/>
      <c r="G1" s="2"/>
      <c r="H1" s="2"/>
      <c r="I1" s="2"/>
      <c r="J1" s="3"/>
      <c r="K1" s="80"/>
      <c r="L1" s="80"/>
      <c r="M1" s="80"/>
      <c r="N1" s="80"/>
      <c r="O1" s="80"/>
      <c r="P1" s="80"/>
      <c r="Q1" s="80"/>
      <c r="R1" s="80"/>
    </row>
    <row r="2" spans="1:40" s="129" customFormat="1" ht="15.95" hidden="1" customHeight="1">
      <c r="A2" s="127"/>
      <c r="B2" s="127"/>
      <c r="C2" s="127"/>
      <c r="D2" s="127"/>
      <c r="E2" s="127"/>
      <c r="F2" s="127"/>
      <c r="G2" s="127"/>
      <c r="H2" s="128"/>
      <c r="I2" s="128"/>
      <c r="J2" s="128"/>
      <c r="K2" s="128"/>
      <c r="AG2" s="130" t="s">
        <v>230</v>
      </c>
      <c r="AH2" s="130" t="s">
        <v>231</v>
      </c>
    </row>
    <row r="3" spans="1:40" s="129" customFormat="1" ht="15.95" hidden="1" customHeight="1">
      <c r="A3" s="127"/>
      <c r="B3" s="127"/>
      <c r="C3" s="127"/>
      <c r="D3" s="127"/>
      <c r="E3" s="127"/>
      <c r="F3" s="127"/>
      <c r="G3" s="127"/>
      <c r="H3" s="128"/>
      <c r="I3" s="128"/>
      <c r="J3" s="128"/>
      <c r="K3" s="128"/>
      <c r="AG3" s="130" t="s">
        <v>232</v>
      </c>
      <c r="AH3" s="130" t="s">
        <v>233</v>
      </c>
    </row>
    <row r="4" spans="1:40" s="129" customFormat="1" ht="15.95" hidden="1" customHeight="1">
      <c r="A4" s="127"/>
      <c r="B4" s="127"/>
      <c r="C4" s="127"/>
      <c r="D4" s="127"/>
      <c r="E4" s="127"/>
      <c r="F4" s="127"/>
      <c r="G4" s="127"/>
      <c r="H4" s="128"/>
      <c r="I4" s="128"/>
      <c r="J4" s="128"/>
      <c r="K4" s="128"/>
      <c r="AG4" s="130"/>
      <c r="AH4" s="130" t="s">
        <v>235</v>
      </c>
    </row>
    <row r="5" spans="1:40" s="129" customFormat="1" ht="26.1" hidden="1" customHeight="1">
      <c r="A5" s="127"/>
      <c r="B5" s="127"/>
      <c r="C5" s="127"/>
      <c r="D5" s="127"/>
      <c r="E5" s="127"/>
      <c r="F5" s="127"/>
      <c r="G5" s="127"/>
      <c r="H5" s="128"/>
      <c r="I5" s="128"/>
      <c r="J5" s="128"/>
      <c r="K5" s="128"/>
    </row>
    <row r="6" spans="1:40" ht="17.25" thickTop="1" thickBot="1">
      <c r="A6" s="188"/>
      <c r="B6" s="191"/>
      <c r="C6" s="191"/>
      <c r="D6" s="191"/>
      <c r="E6" s="191"/>
      <c r="F6" s="191"/>
      <c r="G6" s="191"/>
      <c r="H6" s="191"/>
      <c r="I6" s="191"/>
      <c r="J6" s="191"/>
      <c r="K6" s="192"/>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row>
    <row r="7" spans="1:40" ht="21.95" customHeight="1" thickBot="1">
      <c r="A7" s="189"/>
      <c r="B7" s="445" t="s">
        <v>368</v>
      </c>
      <c r="C7" s="462"/>
      <c r="D7" s="462"/>
      <c r="E7" s="446"/>
      <c r="F7" s="198"/>
      <c r="G7" s="445" t="s">
        <v>370</v>
      </c>
      <c r="H7" s="462"/>
      <c r="I7" s="462"/>
      <c r="J7" s="446"/>
      <c r="K7" s="193"/>
      <c r="L7" s="131"/>
      <c r="M7" s="132"/>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row>
    <row r="8" spans="1:40" ht="21.95" customHeight="1">
      <c r="A8" s="189"/>
      <c r="B8" s="170" t="s">
        <v>387</v>
      </c>
      <c r="C8" s="453" t="s">
        <v>526</v>
      </c>
      <c r="D8" s="454"/>
      <c r="E8" s="455"/>
      <c r="F8" s="199"/>
      <c r="G8" s="172" t="s">
        <v>392</v>
      </c>
      <c r="H8" s="484">
        <v>41274</v>
      </c>
      <c r="I8" s="485"/>
      <c r="J8" s="486"/>
      <c r="K8" s="193"/>
      <c r="L8" s="131"/>
      <c r="M8" s="132"/>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row>
    <row r="9" spans="1:40" ht="21.95" customHeight="1">
      <c r="A9" s="189"/>
      <c r="B9" s="170" t="s">
        <v>388</v>
      </c>
      <c r="C9" s="456">
        <v>3</v>
      </c>
      <c r="D9" s="457"/>
      <c r="E9" s="458"/>
      <c r="F9" s="199"/>
      <c r="G9" s="173" t="s">
        <v>393</v>
      </c>
      <c r="H9" s="487" t="s">
        <v>232</v>
      </c>
      <c r="I9" s="488"/>
      <c r="J9" s="489"/>
      <c r="K9" s="193"/>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row>
    <row r="10" spans="1:40" ht="21.95" customHeight="1">
      <c r="A10" s="189"/>
      <c r="B10" s="170" t="s">
        <v>389</v>
      </c>
      <c r="C10" s="456">
        <v>2</v>
      </c>
      <c r="D10" s="457"/>
      <c r="E10" s="458"/>
      <c r="F10" s="199"/>
      <c r="G10" s="173" t="s">
        <v>394</v>
      </c>
      <c r="H10" s="490" t="s">
        <v>525</v>
      </c>
      <c r="I10" s="491"/>
      <c r="J10" s="492"/>
      <c r="K10" s="193"/>
      <c r="L10" s="131"/>
      <c r="M10" s="133"/>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row>
    <row r="11" spans="1:40" ht="21.95" customHeight="1">
      <c r="A11" s="189"/>
      <c r="B11" s="170" t="s">
        <v>390</v>
      </c>
      <c r="C11" s="459">
        <v>1200</v>
      </c>
      <c r="D11" s="460"/>
      <c r="E11" s="461"/>
      <c r="F11" s="199"/>
      <c r="G11" s="173" t="s">
        <v>395</v>
      </c>
      <c r="H11" s="493">
        <v>41275</v>
      </c>
      <c r="I11" s="494"/>
      <c r="J11" s="495"/>
      <c r="K11" s="193"/>
      <c r="L11" s="131"/>
      <c r="M11" s="132"/>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row>
    <row r="12" spans="1:40" ht="21.95" customHeight="1" thickBot="1">
      <c r="A12" s="189"/>
      <c r="B12" s="171" t="s">
        <v>391</v>
      </c>
      <c r="C12" s="447">
        <v>1</v>
      </c>
      <c r="D12" s="448"/>
      <c r="E12" s="449"/>
      <c r="F12" s="199"/>
      <c r="G12" s="174" t="s">
        <v>396</v>
      </c>
      <c r="H12" s="450" t="s">
        <v>353</v>
      </c>
      <c r="I12" s="451"/>
      <c r="J12" s="452"/>
      <c r="K12" s="193"/>
      <c r="L12" s="131"/>
      <c r="M12" s="132"/>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row>
    <row r="13" spans="1:40" ht="16.5" thickBot="1">
      <c r="A13" s="190"/>
      <c r="B13" s="136"/>
      <c r="C13" s="136"/>
      <c r="D13" s="136"/>
      <c r="E13" s="136"/>
      <c r="F13" s="136"/>
      <c r="G13" s="136"/>
      <c r="H13" s="136"/>
      <c r="I13" s="136"/>
      <c r="J13" s="136"/>
      <c r="K13" s="193"/>
      <c r="L13" s="131"/>
      <c r="M13" s="132"/>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row>
    <row r="14" spans="1:40" ht="19.5" thickBot="1">
      <c r="A14" s="190"/>
      <c r="B14" s="445" t="s">
        <v>369</v>
      </c>
      <c r="C14" s="462"/>
      <c r="D14" s="462"/>
      <c r="E14" s="462"/>
      <c r="F14" s="462"/>
      <c r="G14" s="462"/>
      <c r="H14" s="462"/>
      <c r="I14" s="462"/>
      <c r="J14" s="446"/>
      <c r="K14" s="193"/>
      <c r="L14" s="131"/>
      <c r="M14" s="132"/>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row>
    <row r="15" spans="1:40" ht="15.95" customHeight="1">
      <c r="A15" s="189"/>
      <c r="B15" s="463" t="s">
        <v>527</v>
      </c>
      <c r="C15" s="464"/>
      <c r="D15" s="464"/>
      <c r="E15" s="464"/>
      <c r="F15" s="464"/>
      <c r="G15" s="464"/>
      <c r="H15" s="464"/>
      <c r="I15" s="464"/>
      <c r="J15" s="465"/>
      <c r="K15" s="193"/>
      <c r="L15" s="131"/>
      <c r="M15" s="132"/>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row>
    <row r="16" spans="1:40">
      <c r="A16" s="189"/>
      <c r="B16" s="466"/>
      <c r="C16" s="467"/>
      <c r="D16" s="467"/>
      <c r="E16" s="467"/>
      <c r="F16" s="467"/>
      <c r="G16" s="467"/>
      <c r="H16" s="467"/>
      <c r="I16" s="467"/>
      <c r="J16" s="468"/>
      <c r="K16" s="193"/>
      <c r="L16" s="131"/>
      <c r="M16" s="133"/>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row>
    <row r="17" spans="1:40">
      <c r="A17" s="189"/>
      <c r="B17" s="466"/>
      <c r="C17" s="467"/>
      <c r="D17" s="467"/>
      <c r="E17" s="467"/>
      <c r="F17" s="467"/>
      <c r="G17" s="467"/>
      <c r="H17" s="467"/>
      <c r="I17" s="467"/>
      <c r="J17" s="468"/>
      <c r="K17" s="193"/>
      <c r="L17" s="131"/>
      <c r="M17" s="132"/>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row>
    <row r="18" spans="1:40" ht="16.5" thickBot="1">
      <c r="A18" s="189"/>
      <c r="B18" s="469"/>
      <c r="C18" s="470"/>
      <c r="D18" s="470"/>
      <c r="E18" s="470"/>
      <c r="F18" s="470"/>
      <c r="G18" s="470"/>
      <c r="H18" s="470"/>
      <c r="I18" s="470"/>
      <c r="J18" s="471"/>
      <c r="K18" s="193"/>
      <c r="L18" s="131"/>
      <c r="M18" s="132"/>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row>
    <row r="19" spans="1:40" ht="16.5" thickBot="1">
      <c r="A19" s="189"/>
      <c r="B19" s="197"/>
      <c r="C19" s="197"/>
      <c r="D19" s="197"/>
      <c r="E19" s="197"/>
      <c r="F19" s="197"/>
      <c r="G19" s="197"/>
      <c r="H19" s="197"/>
      <c r="I19" s="197"/>
      <c r="J19" s="197"/>
      <c r="K19" s="193"/>
      <c r="L19" s="131"/>
      <c r="M19" s="134"/>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row>
    <row r="20" spans="1:40" ht="20.100000000000001" customHeight="1" thickBot="1">
      <c r="A20" s="189"/>
      <c r="B20" s="445" t="s">
        <v>371</v>
      </c>
      <c r="C20" s="446"/>
      <c r="D20" s="194"/>
      <c r="E20" s="445" t="s">
        <v>373</v>
      </c>
      <c r="F20" s="462"/>
      <c r="G20" s="446"/>
      <c r="H20" s="194"/>
      <c r="I20" s="445" t="s">
        <v>372</v>
      </c>
      <c r="J20" s="446"/>
      <c r="K20" s="193"/>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row>
    <row r="21" spans="1:40" ht="20.100000000000001" customHeight="1">
      <c r="A21" s="189"/>
      <c r="B21" s="175" t="s">
        <v>376</v>
      </c>
      <c r="C21" s="224">
        <v>200000</v>
      </c>
      <c r="D21" s="194"/>
      <c r="E21" s="498" t="s">
        <v>246</v>
      </c>
      <c r="F21" s="499"/>
      <c r="G21" s="158">
        <v>0.75</v>
      </c>
      <c r="H21" s="137"/>
      <c r="I21" s="180" t="s">
        <v>249</v>
      </c>
      <c r="J21" s="168">
        <v>2.5000000000000001E-3</v>
      </c>
      <c r="K21" s="193"/>
      <c r="L21" s="131"/>
      <c r="M21" s="133"/>
      <c r="N21" s="135"/>
      <c r="O21" s="133"/>
      <c r="P21" s="133"/>
      <c r="Q21" s="133"/>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row>
    <row r="22" spans="1:40" ht="20.100000000000001" customHeight="1">
      <c r="A22" s="189"/>
      <c r="B22" s="176" t="s">
        <v>377</v>
      </c>
      <c r="C22" s="225">
        <v>50000</v>
      </c>
      <c r="D22" s="194"/>
      <c r="E22" s="474" t="s">
        <v>248</v>
      </c>
      <c r="F22" s="475"/>
      <c r="G22" s="159">
        <v>0</v>
      </c>
      <c r="H22" s="138"/>
      <c r="I22" s="177" t="s">
        <v>251</v>
      </c>
      <c r="J22" s="155">
        <v>0</v>
      </c>
      <c r="K22" s="193"/>
      <c r="L22" s="131"/>
      <c r="M22" s="133"/>
      <c r="N22" s="133"/>
      <c r="O22" s="133"/>
      <c r="P22" s="133"/>
      <c r="Q22" s="133"/>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row>
    <row r="23" spans="1:40" ht="20.100000000000001" customHeight="1" thickBot="1">
      <c r="A23" s="189"/>
      <c r="B23" s="176" t="s">
        <v>378</v>
      </c>
      <c r="C23" s="225">
        <v>50000</v>
      </c>
      <c r="D23" s="194"/>
      <c r="E23" s="478" t="s">
        <v>250</v>
      </c>
      <c r="F23" s="479"/>
      <c r="G23" s="160">
        <v>0.12</v>
      </c>
      <c r="H23" s="139"/>
      <c r="I23" s="174" t="s">
        <v>247</v>
      </c>
      <c r="J23" s="169">
        <v>500</v>
      </c>
      <c r="K23" s="193"/>
      <c r="L23" s="131"/>
      <c r="M23" s="472"/>
      <c r="N23" s="472"/>
      <c r="O23" s="133"/>
      <c r="P23" s="133"/>
      <c r="Q23" s="133"/>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row>
    <row r="24" spans="1:40" ht="20.100000000000001" customHeight="1" thickBot="1">
      <c r="A24" s="189"/>
      <c r="B24" s="176" t="s">
        <v>379</v>
      </c>
      <c r="C24" s="156">
        <v>4</v>
      </c>
      <c r="D24" s="194"/>
      <c r="E24" s="194"/>
      <c r="F24" s="194"/>
      <c r="G24" s="194"/>
      <c r="H24" s="194"/>
      <c r="I24" s="194"/>
      <c r="J24" s="194"/>
      <c r="K24" s="193"/>
      <c r="L24" s="131"/>
      <c r="M24" s="473"/>
      <c r="N24" s="473"/>
      <c r="O24" s="473"/>
      <c r="P24" s="473"/>
      <c r="Q24" s="473"/>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row>
    <row r="25" spans="1:40" ht="20.100000000000001" customHeight="1" thickBot="1">
      <c r="A25" s="189"/>
      <c r="B25" s="177" t="s">
        <v>380</v>
      </c>
      <c r="C25" s="225">
        <v>1000</v>
      </c>
      <c r="D25" s="194"/>
      <c r="E25" s="498" t="s">
        <v>253</v>
      </c>
      <c r="F25" s="499"/>
      <c r="G25" s="161">
        <v>0</v>
      </c>
      <c r="H25" s="137"/>
      <c r="I25" s="445" t="s">
        <v>374</v>
      </c>
      <c r="J25" s="446"/>
      <c r="K25" s="193"/>
      <c r="L25" s="131"/>
      <c r="M25" s="473"/>
      <c r="N25" s="473"/>
      <c r="O25" s="473"/>
      <c r="P25" s="473"/>
      <c r="Q25" s="473"/>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row>
    <row r="26" spans="1:40" ht="20.100000000000001" customHeight="1">
      <c r="A26" s="189"/>
      <c r="B26" s="177" t="s">
        <v>398</v>
      </c>
      <c r="C26" s="225">
        <v>500</v>
      </c>
      <c r="D26" s="194"/>
      <c r="E26" s="474" t="s">
        <v>254</v>
      </c>
      <c r="F26" s="475"/>
      <c r="G26" s="159">
        <v>0</v>
      </c>
      <c r="H26" s="138"/>
      <c r="I26" s="180" t="s">
        <v>258</v>
      </c>
      <c r="J26" s="164">
        <v>0.03</v>
      </c>
      <c r="K26" s="193"/>
      <c r="L26" s="131"/>
      <c r="M26" s="473"/>
      <c r="N26" s="473"/>
      <c r="O26" s="473"/>
      <c r="P26" s="473"/>
      <c r="Q26" s="473"/>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row>
    <row r="27" spans="1:40" ht="20.100000000000001" customHeight="1" thickBot="1">
      <c r="A27" s="189"/>
      <c r="B27" s="177" t="s">
        <v>381</v>
      </c>
      <c r="C27" s="225">
        <v>0</v>
      </c>
      <c r="D27" s="194"/>
      <c r="E27" s="476" t="s">
        <v>255</v>
      </c>
      <c r="F27" s="477"/>
      <c r="G27" s="160">
        <v>0</v>
      </c>
      <c r="H27" s="139"/>
      <c r="I27" s="177" t="s">
        <v>260</v>
      </c>
      <c r="J27" s="165">
        <v>1.1999999999999999E-3</v>
      </c>
      <c r="K27" s="193"/>
      <c r="L27" s="131"/>
      <c r="M27" s="473"/>
      <c r="N27" s="473"/>
      <c r="O27" s="473"/>
      <c r="P27" s="473"/>
      <c r="Q27" s="473"/>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row>
    <row r="28" spans="1:40" ht="20.100000000000001" customHeight="1" thickBot="1">
      <c r="A28" s="189"/>
      <c r="B28" s="178" t="s">
        <v>382</v>
      </c>
      <c r="C28" s="225">
        <v>100</v>
      </c>
      <c r="D28" s="194"/>
      <c r="E28" s="194"/>
      <c r="F28" s="194"/>
      <c r="G28" s="194"/>
      <c r="H28" s="194"/>
      <c r="I28" s="177" t="s">
        <v>268</v>
      </c>
      <c r="J28" s="155">
        <v>0</v>
      </c>
      <c r="K28" s="193"/>
      <c r="L28" s="131"/>
      <c r="M28" s="473"/>
      <c r="N28" s="473"/>
      <c r="O28" s="473"/>
      <c r="P28" s="473"/>
      <c r="Q28" s="473"/>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row>
    <row r="29" spans="1:40" ht="20.100000000000001" customHeight="1">
      <c r="A29" s="189"/>
      <c r="B29" s="178" t="s">
        <v>383</v>
      </c>
      <c r="C29" s="225">
        <v>50</v>
      </c>
      <c r="D29" s="194"/>
      <c r="E29" s="498" t="s">
        <v>259</v>
      </c>
      <c r="F29" s="499"/>
      <c r="G29" s="161">
        <v>0</v>
      </c>
      <c r="H29" s="137"/>
      <c r="I29" s="173" t="s">
        <v>264</v>
      </c>
      <c r="J29" s="155">
        <v>0</v>
      </c>
      <c r="K29" s="193"/>
      <c r="L29" s="131"/>
      <c r="M29" s="473"/>
      <c r="N29" s="473"/>
      <c r="O29" s="473"/>
      <c r="P29" s="473"/>
      <c r="Q29" s="473"/>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row>
    <row r="30" spans="1:40" ht="20.100000000000001" customHeight="1">
      <c r="A30" s="189"/>
      <c r="B30" s="178" t="s">
        <v>384</v>
      </c>
      <c r="C30" s="225">
        <v>100</v>
      </c>
      <c r="D30" s="194"/>
      <c r="E30" s="474" t="s">
        <v>261</v>
      </c>
      <c r="F30" s="475"/>
      <c r="G30" s="159">
        <v>0</v>
      </c>
      <c r="H30" s="138"/>
      <c r="I30" s="181" t="s">
        <v>247</v>
      </c>
      <c r="J30" s="166">
        <v>500</v>
      </c>
      <c r="K30" s="193"/>
      <c r="L30" s="131"/>
      <c r="M30" s="473"/>
      <c r="N30" s="473"/>
      <c r="O30" s="473"/>
      <c r="P30" s="473"/>
      <c r="Q30" s="473"/>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row>
    <row r="31" spans="1:40" ht="20.100000000000001" customHeight="1">
      <c r="A31" s="189"/>
      <c r="B31" s="178" t="s">
        <v>400</v>
      </c>
      <c r="C31" s="225">
        <v>0</v>
      </c>
      <c r="D31" s="194"/>
      <c r="E31" s="506" t="s">
        <v>263</v>
      </c>
      <c r="F31" s="507"/>
      <c r="G31" s="162">
        <v>0</v>
      </c>
      <c r="H31" s="139"/>
      <c r="I31" s="181" t="s">
        <v>256</v>
      </c>
      <c r="J31" s="167">
        <v>350</v>
      </c>
      <c r="K31" s="193"/>
      <c r="L31" s="131"/>
      <c r="M31" s="133"/>
      <c r="N31" s="133"/>
      <c r="O31" s="133"/>
      <c r="P31" s="133"/>
      <c r="Q31" s="133"/>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row>
    <row r="32" spans="1:40" ht="20.100000000000001" customHeight="1" thickBot="1">
      <c r="A32" s="189"/>
      <c r="B32" s="179" t="s">
        <v>385</v>
      </c>
      <c r="C32" s="226">
        <v>0</v>
      </c>
      <c r="D32" s="194"/>
      <c r="E32" s="476" t="s">
        <v>267</v>
      </c>
      <c r="F32" s="477"/>
      <c r="G32" s="163"/>
      <c r="H32" s="195"/>
      <c r="I32" s="181" t="s">
        <v>262</v>
      </c>
      <c r="J32" s="166">
        <v>500</v>
      </c>
      <c r="K32" s="193"/>
      <c r="L32" s="131"/>
      <c r="M32" s="133"/>
      <c r="N32" s="133"/>
      <c r="O32" s="133"/>
      <c r="P32" s="133"/>
      <c r="Q32" s="133"/>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row>
    <row r="33" spans="1:40" ht="20.100000000000001" customHeight="1" thickBot="1">
      <c r="A33" s="189"/>
      <c r="B33" s="194"/>
      <c r="C33" s="194"/>
      <c r="D33" s="194"/>
      <c r="E33" s="194"/>
      <c r="F33" s="194"/>
      <c r="G33" s="194"/>
      <c r="H33" s="195"/>
      <c r="I33" s="182" t="s">
        <v>266</v>
      </c>
      <c r="J33" s="157">
        <v>500</v>
      </c>
      <c r="K33" s="193"/>
      <c r="L33" s="131"/>
      <c r="M33" s="133"/>
      <c r="N33" s="133"/>
      <c r="O33" s="133"/>
      <c r="P33" s="133"/>
      <c r="Q33" s="133"/>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row>
    <row r="34" spans="1:40" ht="20.100000000000001" customHeight="1">
      <c r="A34" s="189"/>
      <c r="B34" s="194"/>
      <c r="C34" s="194"/>
      <c r="D34" s="194"/>
      <c r="E34" s="194"/>
      <c r="F34" s="194"/>
      <c r="G34" s="194"/>
      <c r="H34" s="194"/>
      <c r="I34" s="194"/>
      <c r="J34" s="194"/>
      <c r="K34" s="193"/>
      <c r="L34" s="131"/>
      <c r="M34" s="133"/>
      <c r="N34" s="133"/>
      <c r="O34" s="133"/>
      <c r="P34" s="133"/>
      <c r="Q34" s="133"/>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row>
    <row r="35" spans="1:40" ht="20.100000000000001" customHeight="1" thickBot="1">
      <c r="A35" s="189"/>
      <c r="B35" s="194"/>
      <c r="C35" s="194"/>
      <c r="D35" s="194"/>
      <c r="E35" s="141"/>
      <c r="F35" s="141"/>
      <c r="G35" s="195"/>
      <c r="H35" s="195"/>
      <c r="I35" s="142"/>
      <c r="J35" s="196"/>
      <c r="K35" s="193"/>
      <c r="L35" s="131"/>
      <c r="M35" s="133"/>
      <c r="N35" s="133"/>
      <c r="O35" s="133"/>
      <c r="P35" s="133"/>
      <c r="Q35" s="133"/>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row>
    <row r="36" spans="1:40" s="145" customFormat="1" ht="34.5" thickBot="1">
      <c r="A36" s="500" t="s">
        <v>375</v>
      </c>
      <c r="B36" s="501"/>
      <c r="C36" s="501"/>
      <c r="D36" s="501"/>
      <c r="E36" s="501"/>
      <c r="F36" s="501"/>
      <c r="G36" s="501"/>
      <c r="H36" s="501"/>
      <c r="I36" s="501"/>
      <c r="J36" s="501"/>
      <c r="K36" s="502"/>
      <c r="L36" s="144"/>
      <c r="M36" s="144"/>
      <c r="N36" s="144"/>
      <c r="O36" s="144"/>
      <c r="P36" s="144"/>
      <c r="Q36" s="144"/>
      <c r="R36" s="144"/>
      <c r="S36" s="144"/>
      <c r="T36" s="144"/>
      <c r="U36" s="144"/>
      <c r="V36" s="144"/>
      <c r="W36" s="144"/>
      <c r="X36" s="144"/>
      <c r="Y36" s="144"/>
      <c r="Z36" s="144"/>
      <c r="AA36" s="144"/>
      <c r="AB36" s="144"/>
      <c r="AC36" s="144"/>
      <c r="AD36" s="144"/>
      <c r="AE36" s="144"/>
      <c r="AF36" s="144"/>
      <c r="AG36" s="144"/>
      <c r="AH36" s="144"/>
      <c r="AI36" s="144"/>
      <c r="AJ36" s="144"/>
      <c r="AK36" s="144"/>
      <c r="AL36" s="144"/>
      <c r="AM36" s="144"/>
      <c r="AN36" s="144"/>
    </row>
    <row r="37" spans="1:40" s="145" customFormat="1" ht="18" customHeight="1" thickBot="1">
      <c r="A37" s="200"/>
      <c r="B37" s="194"/>
      <c r="C37" s="194"/>
      <c r="D37" s="194"/>
      <c r="E37" s="194"/>
      <c r="F37" s="194"/>
      <c r="G37" s="194"/>
      <c r="H37" s="194"/>
      <c r="I37" s="194"/>
      <c r="J37" s="194"/>
      <c r="K37" s="201"/>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row>
    <row r="38" spans="1:40" s="145" customFormat="1" ht="20.100000000000001" customHeight="1" thickBot="1">
      <c r="A38" s="200"/>
      <c r="B38" s="503" t="s">
        <v>354</v>
      </c>
      <c r="C38" s="504"/>
      <c r="D38" s="148"/>
      <c r="E38" s="503" t="s">
        <v>355</v>
      </c>
      <c r="F38" s="505"/>
      <c r="G38" s="504"/>
      <c r="H38" s="148"/>
      <c r="I38" s="503" t="s">
        <v>356</v>
      </c>
      <c r="J38" s="504"/>
      <c r="K38" s="201"/>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4"/>
      <c r="AJ38" s="144"/>
      <c r="AK38" s="144"/>
      <c r="AL38" s="144"/>
      <c r="AM38" s="144"/>
      <c r="AN38" s="144"/>
    </row>
    <row r="39" spans="1:40" s="147" customFormat="1" ht="18" customHeight="1">
      <c r="A39" s="206"/>
      <c r="B39" s="183" t="s">
        <v>386</v>
      </c>
      <c r="C39" s="286" t="s">
        <v>433</v>
      </c>
      <c r="D39" s="207"/>
      <c r="E39" s="496" t="s">
        <v>386</v>
      </c>
      <c r="F39" s="497"/>
      <c r="G39" s="286"/>
      <c r="H39" s="207"/>
      <c r="I39" s="183" t="s">
        <v>386</v>
      </c>
      <c r="J39" s="286"/>
      <c r="K39" s="202"/>
      <c r="L39" s="146"/>
      <c r="M39" s="146"/>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row>
    <row r="40" spans="1:40" s="145" customFormat="1" ht="18" customHeight="1">
      <c r="A40" s="200"/>
      <c r="B40" s="184" t="s">
        <v>332</v>
      </c>
      <c r="C40" s="149" t="s">
        <v>434</v>
      </c>
      <c r="D40" s="194"/>
      <c r="E40" s="480" t="s">
        <v>332</v>
      </c>
      <c r="F40" s="481"/>
      <c r="G40" s="149"/>
      <c r="H40" s="194"/>
      <c r="I40" s="186" t="s">
        <v>332</v>
      </c>
      <c r="J40" s="149"/>
      <c r="K40" s="201"/>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44"/>
      <c r="AK40" s="144"/>
      <c r="AL40" s="144"/>
      <c r="AM40" s="144"/>
      <c r="AN40" s="144"/>
    </row>
    <row r="41" spans="1:40" s="145" customFormat="1" ht="18" customHeight="1">
      <c r="A41" s="200"/>
      <c r="B41" s="184" t="s">
        <v>352</v>
      </c>
      <c r="C41" s="149">
        <v>3</v>
      </c>
      <c r="D41" s="194"/>
      <c r="E41" s="480" t="s">
        <v>352</v>
      </c>
      <c r="F41" s="481"/>
      <c r="G41" s="149"/>
      <c r="H41" s="194"/>
      <c r="I41" s="186" t="s">
        <v>352</v>
      </c>
      <c r="J41" s="149"/>
      <c r="K41" s="201"/>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row>
    <row r="42" spans="1:40" s="145" customFormat="1" ht="18" customHeight="1">
      <c r="A42" s="200"/>
      <c r="B42" s="184" t="s">
        <v>285</v>
      </c>
      <c r="C42" s="149">
        <v>2</v>
      </c>
      <c r="D42" s="194"/>
      <c r="E42" s="480" t="s">
        <v>285</v>
      </c>
      <c r="F42" s="481"/>
      <c r="G42" s="149"/>
      <c r="H42" s="194"/>
      <c r="I42" s="186" t="s">
        <v>285</v>
      </c>
      <c r="J42" s="149"/>
      <c r="K42" s="201"/>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row>
    <row r="43" spans="1:40" s="145" customFormat="1" ht="18" customHeight="1">
      <c r="A43" s="200"/>
      <c r="B43" s="184" t="s">
        <v>357</v>
      </c>
      <c r="C43" s="287">
        <v>1200</v>
      </c>
      <c r="D43" s="194"/>
      <c r="E43" s="480" t="s">
        <v>357</v>
      </c>
      <c r="F43" s="481"/>
      <c r="G43" s="287"/>
      <c r="H43" s="194"/>
      <c r="I43" s="186" t="s">
        <v>357</v>
      </c>
      <c r="J43" s="287"/>
      <c r="K43" s="201"/>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c r="AI43" s="144"/>
      <c r="AJ43" s="144"/>
      <c r="AK43" s="144"/>
      <c r="AL43" s="144"/>
      <c r="AM43" s="144"/>
      <c r="AN43" s="144"/>
    </row>
    <row r="44" spans="1:40" s="145" customFormat="1" ht="18" customHeight="1">
      <c r="A44" s="200"/>
      <c r="B44" s="184" t="s">
        <v>358</v>
      </c>
      <c r="C44" s="716">
        <v>1290</v>
      </c>
      <c r="D44" s="194"/>
      <c r="E44" s="480" t="s">
        <v>358</v>
      </c>
      <c r="F44" s="481"/>
      <c r="G44" s="150"/>
      <c r="H44" s="194"/>
      <c r="I44" s="186" t="s">
        <v>358</v>
      </c>
      <c r="J44" s="150"/>
      <c r="K44" s="201"/>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row>
    <row r="45" spans="1:40" s="145" customFormat="1" ht="18" customHeight="1">
      <c r="A45" s="200"/>
      <c r="B45" s="184" t="s">
        <v>359</v>
      </c>
      <c r="C45" s="149">
        <v>1982</v>
      </c>
      <c r="D45" s="194"/>
      <c r="E45" s="480" t="s">
        <v>359</v>
      </c>
      <c r="F45" s="481"/>
      <c r="G45" s="149"/>
      <c r="H45" s="194"/>
      <c r="I45" s="186" t="s">
        <v>359</v>
      </c>
      <c r="J45" s="149"/>
      <c r="K45" s="201"/>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row>
    <row r="46" spans="1:40" s="145" customFormat="1" ht="18" customHeight="1">
      <c r="A46" s="200"/>
      <c r="B46" s="184" t="s">
        <v>360</v>
      </c>
      <c r="C46" s="150">
        <v>1</v>
      </c>
      <c r="D46" s="194"/>
      <c r="E46" s="480" t="s">
        <v>360</v>
      </c>
      <c r="F46" s="481"/>
      <c r="G46" s="150"/>
      <c r="H46" s="194"/>
      <c r="I46" s="186" t="s">
        <v>360</v>
      </c>
      <c r="J46" s="150"/>
      <c r="K46" s="201"/>
      <c r="L46" s="144"/>
      <c r="M46" s="144"/>
      <c r="N46" s="144"/>
      <c r="O46" s="144"/>
      <c r="P46" s="144"/>
      <c r="Q46" s="144"/>
      <c r="R46" s="144"/>
      <c r="S46" s="144"/>
      <c r="T46" s="144"/>
      <c r="U46" s="144"/>
      <c r="V46" s="144"/>
      <c r="W46" s="144"/>
      <c r="X46" s="144"/>
      <c r="Y46" s="144"/>
      <c r="Z46" s="144"/>
      <c r="AA46" s="144"/>
      <c r="AB46" s="144"/>
      <c r="AC46" s="144"/>
      <c r="AD46" s="144"/>
      <c r="AE46" s="144"/>
      <c r="AF46" s="144"/>
      <c r="AG46" s="144"/>
      <c r="AH46" s="144"/>
      <c r="AI46" s="144"/>
      <c r="AJ46" s="144"/>
      <c r="AK46" s="144"/>
      <c r="AL46" s="144"/>
      <c r="AM46" s="144"/>
      <c r="AN46" s="144"/>
    </row>
    <row r="47" spans="1:40" s="145" customFormat="1" ht="18" customHeight="1">
      <c r="A47" s="200"/>
      <c r="B47" s="184" t="s">
        <v>361</v>
      </c>
      <c r="C47" s="151" t="s">
        <v>435</v>
      </c>
      <c r="D47" s="194"/>
      <c r="E47" s="480" t="s">
        <v>361</v>
      </c>
      <c r="F47" s="481"/>
      <c r="G47" s="151"/>
      <c r="H47" s="194"/>
      <c r="I47" s="186" t="s">
        <v>361</v>
      </c>
      <c r="J47" s="151"/>
      <c r="K47" s="201"/>
      <c r="L47" s="144"/>
      <c r="M47" s="144"/>
      <c r="N47" s="144"/>
      <c r="O47" s="144"/>
      <c r="P47" s="144"/>
      <c r="Q47" s="144"/>
      <c r="R47" s="144"/>
      <c r="S47" s="144"/>
      <c r="T47" s="144"/>
      <c r="U47" s="144"/>
      <c r="V47" s="144"/>
      <c r="W47" s="144"/>
      <c r="X47" s="144"/>
      <c r="Y47" s="144"/>
      <c r="Z47" s="144"/>
      <c r="AA47" s="144"/>
      <c r="AB47" s="144"/>
      <c r="AC47" s="144"/>
      <c r="AD47" s="144"/>
      <c r="AE47" s="144"/>
      <c r="AF47" s="144"/>
      <c r="AG47" s="144"/>
      <c r="AH47" s="144"/>
      <c r="AI47" s="144"/>
      <c r="AJ47" s="144"/>
      <c r="AK47" s="144"/>
      <c r="AL47" s="144"/>
      <c r="AM47" s="144"/>
      <c r="AN47" s="144"/>
    </row>
    <row r="48" spans="1:40" s="145" customFormat="1" ht="18" customHeight="1">
      <c r="A48" s="200"/>
      <c r="B48" s="184" t="s">
        <v>362</v>
      </c>
      <c r="C48" s="152">
        <v>41305</v>
      </c>
      <c r="D48" s="194"/>
      <c r="E48" s="480" t="s">
        <v>362</v>
      </c>
      <c r="F48" s="481"/>
      <c r="G48" s="152"/>
      <c r="H48" s="194"/>
      <c r="I48" s="186" t="s">
        <v>362</v>
      </c>
      <c r="J48" s="152"/>
      <c r="K48" s="201"/>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row>
    <row r="49" spans="1:40" s="145" customFormat="1" ht="18" customHeight="1">
      <c r="A49" s="200"/>
      <c r="B49" s="184" t="s">
        <v>363</v>
      </c>
      <c r="C49" s="288">
        <v>135000</v>
      </c>
      <c r="D49" s="194"/>
      <c r="E49" s="480" t="s">
        <v>363</v>
      </c>
      <c r="F49" s="481"/>
      <c r="G49" s="288"/>
      <c r="H49" s="194"/>
      <c r="I49" s="186" t="s">
        <v>363</v>
      </c>
      <c r="J49" s="288"/>
      <c r="K49" s="201"/>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row>
    <row r="50" spans="1:40" s="145" customFormat="1" ht="18" customHeight="1">
      <c r="A50" s="200"/>
      <c r="B50" s="184" t="s">
        <v>364</v>
      </c>
      <c r="C50" s="152">
        <v>41306</v>
      </c>
      <c r="D50" s="194"/>
      <c r="E50" s="480" t="s">
        <v>364</v>
      </c>
      <c r="F50" s="481"/>
      <c r="G50" s="152"/>
      <c r="H50" s="194"/>
      <c r="I50" s="186" t="s">
        <v>364</v>
      </c>
      <c r="J50" s="152"/>
      <c r="K50" s="201"/>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row>
    <row r="51" spans="1:40" s="145" customFormat="1" ht="18" customHeight="1">
      <c r="A51" s="200"/>
      <c r="B51" s="184" t="s">
        <v>365</v>
      </c>
      <c r="C51" s="288">
        <v>135000</v>
      </c>
      <c r="D51" s="194"/>
      <c r="E51" s="480" t="s">
        <v>365</v>
      </c>
      <c r="F51" s="481"/>
      <c r="G51" s="288"/>
      <c r="H51" s="194"/>
      <c r="I51" s="186" t="s">
        <v>365</v>
      </c>
      <c r="J51" s="288"/>
      <c r="K51" s="201"/>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row>
    <row r="52" spans="1:40" s="145" customFormat="1" ht="18" customHeight="1">
      <c r="A52" s="200"/>
      <c r="B52" s="184" t="s">
        <v>366</v>
      </c>
      <c r="C52" s="153">
        <v>65</v>
      </c>
      <c r="D52" s="194"/>
      <c r="E52" s="480" t="s">
        <v>366</v>
      </c>
      <c r="F52" s="481"/>
      <c r="G52" s="153"/>
      <c r="H52" s="194"/>
      <c r="I52" s="186" t="s">
        <v>366</v>
      </c>
      <c r="J52" s="153"/>
      <c r="K52" s="201"/>
      <c r="L52" s="144"/>
      <c r="M52" s="144"/>
      <c r="N52" s="144"/>
      <c r="O52" s="144"/>
      <c r="P52" s="144"/>
      <c r="Q52" s="144"/>
      <c r="R52" s="144"/>
      <c r="S52" s="144"/>
      <c r="T52" s="144"/>
      <c r="U52" s="144"/>
      <c r="V52" s="144"/>
      <c r="W52" s="144"/>
      <c r="X52" s="144"/>
      <c r="Y52" s="144"/>
      <c r="Z52" s="144"/>
      <c r="AA52" s="144"/>
      <c r="AB52" s="144"/>
      <c r="AC52" s="144"/>
      <c r="AD52" s="144"/>
      <c r="AE52" s="144"/>
      <c r="AF52" s="144"/>
      <c r="AG52" s="144"/>
      <c r="AH52" s="144"/>
      <c r="AI52" s="144"/>
      <c r="AJ52" s="144"/>
      <c r="AK52" s="144"/>
      <c r="AL52" s="144"/>
      <c r="AM52" s="144"/>
      <c r="AN52" s="144"/>
    </row>
    <row r="53" spans="1:40" s="145" customFormat="1" ht="18" customHeight="1" thickBot="1">
      <c r="A53" s="200"/>
      <c r="B53" s="185" t="s">
        <v>367</v>
      </c>
      <c r="C53" s="154"/>
      <c r="D53" s="194"/>
      <c r="E53" s="482" t="s">
        <v>367</v>
      </c>
      <c r="F53" s="483"/>
      <c r="G53" s="154"/>
      <c r="H53" s="194"/>
      <c r="I53" s="187" t="s">
        <v>367</v>
      </c>
      <c r="J53" s="154"/>
      <c r="K53" s="201"/>
      <c r="L53" s="144"/>
      <c r="M53" s="144"/>
      <c r="N53" s="144"/>
      <c r="O53" s="144"/>
      <c r="P53" s="144"/>
      <c r="Q53" s="144"/>
      <c r="R53" s="144"/>
      <c r="S53" s="144"/>
      <c r="T53" s="144"/>
      <c r="U53" s="144"/>
      <c r="V53" s="144"/>
      <c r="W53" s="144"/>
      <c r="X53" s="144"/>
      <c r="Y53" s="144"/>
      <c r="Z53" s="144"/>
      <c r="AA53" s="144"/>
      <c r="AB53" s="144"/>
      <c r="AC53" s="144"/>
      <c r="AD53" s="144"/>
      <c r="AE53" s="144"/>
      <c r="AF53" s="144"/>
      <c r="AG53" s="144"/>
      <c r="AH53" s="144"/>
      <c r="AI53" s="144"/>
      <c r="AJ53" s="144"/>
      <c r="AK53" s="144"/>
      <c r="AL53" s="144"/>
      <c r="AM53" s="144"/>
      <c r="AN53" s="144"/>
    </row>
    <row r="54" spans="1:40" ht="16.5" thickBot="1">
      <c r="A54" s="204"/>
      <c r="B54" s="205"/>
      <c r="C54" s="205"/>
      <c r="D54" s="205"/>
      <c r="E54" s="205"/>
      <c r="F54" s="205"/>
      <c r="G54" s="205"/>
      <c r="H54" s="205"/>
      <c r="I54" s="205"/>
      <c r="J54" s="205"/>
      <c r="K54" s="203"/>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row>
    <row r="55" spans="1:40" s="131" customFormat="1" ht="16.5" thickTop="1">
      <c r="A55" s="133"/>
      <c r="B55" s="133"/>
      <c r="C55" s="133"/>
      <c r="D55" s="133"/>
      <c r="E55" s="133"/>
      <c r="F55" s="140"/>
      <c r="G55" s="133"/>
      <c r="H55" s="133"/>
      <c r="I55" s="133"/>
      <c r="J55" s="133"/>
      <c r="K55" s="133"/>
    </row>
    <row r="56" spans="1:40" s="131" customFormat="1">
      <c r="A56" s="133"/>
      <c r="B56" s="133"/>
      <c r="C56" s="133"/>
      <c r="D56" s="133"/>
      <c r="E56" s="133"/>
      <c r="F56" s="140"/>
      <c r="G56" s="133"/>
      <c r="H56" s="133"/>
      <c r="I56" s="133"/>
      <c r="J56" s="133"/>
      <c r="K56" s="133"/>
    </row>
    <row r="57" spans="1:40" s="131" customFormat="1">
      <c r="A57" s="133"/>
      <c r="B57" s="133"/>
      <c r="C57" s="133"/>
      <c r="D57" s="133"/>
      <c r="E57" s="133"/>
      <c r="F57" s="140"/>
      <c r="G57" s="133"/>
      <c r="H57" s="133"/>
      <c r="I57" s="133"/>
      <c r="J57" s="133"/>
      <c r="K57" s="133"/>
    </row>
    <row r="58" spans="1:40" s="131" customFormat="1">
      <c r="A58" s="133"/>
      <c r="B58" s="133"/>
      <c r="C58" s="133"/>
      <c r="D58" s="133"/>
      <c r="E58" s="133"/>
      <c r="F58" s="140"/>
      <c r="G58" s="133"/>
      <c r="H58" s="133"/>
      <c r="I58" s="133"/>
      <c r="J58" s="133"/>
      <c r="K58" s="133"/>
    </row>
    <row r="59" spans="1:40" s="131" customFormat="1">
      <c r="A59" s="133"/>
      <c r="B59" s="133"/>
      <c r="C59" s="133"/>
      <c r="D59" s="133"/>
      <c r="E59" s="133"/>
      <c r="F59" s="140"/>
      <c r="G59" s="133"/>
      <c r="H59" s="133"/>
      <c r="I59" s="133"/>
      <c r="J59" s="133"/>
      <c r="K59" s="133"/>
    </row>
    <row r="60" spans="1:40" s="131" customFormat="1">
      <c r="A60" s="133"/>
      <c r="B60" s="133"/>
      <c r="C60" s="133"/>
      <c r="D60" s="133"/>
      <c r="E60" s="133"/>
      <c r="F60" s="140"/>
      <c r="G60" s="133"/>
      <c r="H60" s="133"/>
      <c r="I60" s="133"/>
      <c r="J60" s="133"/>
      <c r="K60" s="133"/>
    </row>
    <row r="61" spans="1:40">
      <c r="A61" s="131"/>
      <c r="B61" s="131"/>
      <c r="C61" s="131"/>
      <c r="D61" s="131"/>
      <c r="E61" s="131"/>
      <c r="G61" s="131"/>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row>
    <row r="62" spans="1:40">
      <c r="A62" s="131"/>
      <c r="B62" s="131"/>
      <c r="C62" s="131"/>
      <c r="D62" s="131"/>
      <c r="E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row>
    <row r="63" spans="1:40">
      <c r="A63" s="131"/>
      <c r="B63" s="131"/>
      <c r="C63" s="131"/>
      <c r="D63" s="131"/>
      <c r="E63" s="131"/>
      <c r="G63" s="131"/>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row>
    <row r="64" spans="1:40">
      <c r="A64" s="131"/>
      <c r="B64" s="131"/>
      <c r="C64" s="131"/>
      <c r="D64" s="131"/>
      <c r="E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row>
    <row r="65" spans="1:40">
      <c r="A65" s="131"/>
      <c r="B65" s="131"/>
      <c r="C65" s="131"/>
      <c r="D65" s="131"/>
      <c r="E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row>
    <row r="66" spans="1:40">
      <c r="A66" s="131"/>
      <c r="B66" s="131"/>
      <c r="C66" s="131"/>
      <c r="D66" s="131"/>
      <c r="E66" s="131"/>
      <c r="G66" s="131"/>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row>
    <row r="67" spans="1:40">
      <c r="A67" s="131"/>
      <c r="B67" s="131"/>
      <c r="C67" s="131"/>
      <c r="D67" s="131"/>
      <c r="E67" s="131"/>
      <c r="G67" s="131"/>
      <c r="H67" s="131"/>
      <c r="I67" s="131"/>
      <c r="J67" s="131"/>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row>
    <row r="68" spans="1:40">
      <c r="A68" s="131"/>
      <c r="B68" s="131"/>
      <c r="C68" s="131"/>
      <c r="D68" s="131"/>
      <c r="E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row>
    <row r="69" spans="1:40">
      <c r="A69" s="131"/>
      <c r="B69" s="131"/>
      <c r="C69" s="131"/>
      <c r="D69" s="131"/>
      <c r="E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row>
    <row r="70" spans="1:40">
      <c r="A70" s="131"/>
      <c r="B70" s="131"/>
      <c r="C70" s="131"/>
      <c r="D70" s="131"/>
      <c r="E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row>
    <row r="71" spans="1:40">
      <c r="A71" s="131"/>
      <c r="B71" s="131"/>
      <c r="C71" s="131"/>
      <c r="D71" s="131"/>
      <c r="E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row>
    <row r="72" spans="1:40">
      <c r="A72" s="131"/>
      <c r="B72" s="131"/>
      <c r="C72" s="131"/>
      <c r="D72" s="131"/>
      <c r="E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row>
    <row r="73" spans="1:40">
      <c r="A73" s="131"/>
      <c r="B73" s="131"/>
      <c r="C73" s="131"/>
      <c r="D73" s="131"/>
      <c r="E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row>
    <row r="74" spans="1:40">
      <c r="A74" s="131"/>
      <c r="B74" s="131"/>
      <c r="C74" s="131"/>
      <c r="D74" s="131"/>
      <c r="E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row>
    <row r="75" spans="1:40">
      <c r="A75" s="131"/>
      <c r="B75" s="131"/>
      <c r="C75" s="131"/>
      <c r="D75" s="131"/>
      <c r="E75" s="131"/>
      <c r="G75" s="131"/>
      <c r="H75" s="131"/>
      <c r="I75" s="131"/>
      <c r="J75" s="131"/>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row>
    <row r="76" spans="1:40">
      <c r="A76" s="131"/>
      <c r="B76" s="131"/>
      <c r="C76" s="131"/>
      <c r="D76" s="131"/>
      <c r="E76" s="131"/>
      <c r="G76" s="131"/>
      <c r="H76" s="131"/>
      <c r="I76" s="131"/>
      <c r="J76" s="131"/>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row>
    <row r="77" spans="1:40">
      <c r="A77" s="131"/>
      <c r="B77" s="131"/>
      <c r="C77" s="131"/>
      <c r="D77" s="131"/>
      <c r="E77" s="131"/>
      <c r="G77" s="131"/>
      <c r="H77" s="131"/>
      <c r="I77" s="131"/>
      <c r="J77" s="131"/>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row>
    <row r="78" spans="1:40">
      <c r="A78" s="131"/>
      <c r="B78" s="131"/>
      <c r="C78" s="131"/>
      <c r="D78" s="131"/>
      <c r="E78" s="131"/>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row>
    <row r="79" spans="1:40">
      <c r="A79" s="131"/>
      <c r="B79" s="131"/>
      <c r="C79" s="131"/>
      <c r="D79" s="131"/>
      <c r="E79" s="131"/>
      <c r="G79" s="131"/>
      <c r="H79" s="131"/>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row>
    <row r="80" spans="1:40">
      <c r="A80" s="131"/>
      <c r="B80" s="131"/>
      <c r="C80" s="131"/>
      <c r="D80" s="131"/>
      <c r="E80" s="131"/>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row>
    <row r="81" spans="1:40">
      <c r="A81" s="131"/>
      <c r="B81" s="131"/>
      <c r="C81" s="131"/>
      <c r="D81" s="131"/>
      <c r="E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row>
    <row r="82" spans="1:40">
      <c r="A82" s="131"/>
      <c r="B82" s="131"/>
      <c r="C82" s="131"/>
      <c r="D82" s="131"/>
      <c r="E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row>
    <row r="83" spans="1:40">
      <c r="A83" s="131"/>
      <c r="B83" s="131"/>
      <c r="C83" s="131"/>
      <c r="D83" s="131"/>
      <c r="E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row>
    <row r="84" spans="1:40">
      <c r="A84" s="131"/>
      <c r="B84" s="131"/>
      <c r="C84" s="131"/>
      <c r="D84" s="131"/>
      <c r="E84" s="131"/>
      <c r="G84" s="131"/>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row>
    <row r="85" spans="1:40">
      <c r="A85" s="131"/>
      <c r="B85" s="131"/>
      <c r="C85" s="131"/>
      <c r="D85" s="131"/>
      <c r="E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row>
    <row r="86" spans="1:40">
      <c r="A86" s="131"/>
      <c r="B86" s="131"/>
      <c r="C86" s="131"/>
      <c r="D86" s="131"/>
      <c r="E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row>
    <row r="87" spans="1:40">
      <c r="A87" s="131"/>
      <c r="B87" s="131"/>
      <c r="C87" s="131"/>
      <c r="D87" s="131"/>
      <c r="E87" s="131"/>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row>
    <row r="88" spans="1:40">
      <c r="A88" s="131"/>
      <c r="B88" s="131"/>
      <c r="C88" s="131"/>
      <c r="D88" s="131"/>
      <c r="E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row>
    <row r="89" spans="1:40">
      <c r="A89" s="131"/>
      <c r="B89" s="131"/>
      <c r="C89" s="131"/>
      <c r="D89" s="131"/>
      <c r="E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row>
    <row r="90" spans="1:40">
      <c r="A90" s="131"/>
      <c r="B90" s="131"/>
      <c r="C90" s="131"/>
      <c r="D90" s="131"/>
      <c r="E90" s="131"/>
      <c r="G90" s="131"/>
      <c r="H90" s="131"/>
      <c r="I90" s="131"/>
      <c r="J90" s="131"/>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row>
    <row r="91" spans="1:40">
      <c r="A91" s="131"/>
      <c r="B91" s="131"/>
      <c r="C91" s="131"/>
      <c r="D91" s="131"/>
      <c r="E91" s="131"/>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row>
    <row r="92" spans="1:40">
      <c r="A92" s="131"/>
      <c r="B92" s="131"/>
      <c r="C92" s="131"/>
      <c r="D92" s="131"/>
      <c r="E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row>
    <row r="93" spans="1:40">
      <c r="A93" s="131"/>
      <c r="B93" s="131"/>
      <c r="C93" s="131"/>
      <c r="D93" s="131"/>
      <c r="E93" s="131"/>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row>
    <row r="94" spans="1:40">
      <c r="A94" s="131"/>
      <c r="B94" s="131"/>
      <c r="C94" s="131"/>
      <c r="D94" s="131"/>
      <c r="E94" s="131"/>
      <c r="G94" s="131"/>
      <c r="H94" s="131"/>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row>
    <row r="95" spans="1:40">
      <c r="A95" s="131"/>
      <c r="B95" s="131"/>
      <c r="C95" s="131"/>
      <c r="D95" s="131"/>
      <c r="E95" s="131"/>
      <c r="G95" s="131"/>
      <c r="H95" s="131"/>
      <c r="I95" s="131"/>
      <c r="J95" s="131"/>
      <c r="K95" s="131"/>
      <c r="L95" s="131"/>
      <c r="M95" s="131"/>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row>
    <row r="96" spans="1:40">
      <c r="A96" s="131"/>
      <c r="B96" s="131"/>
      <c r="C96" s="131"/>
      <c r="D96" s="131"/>
      <c r="E96" s="131"/>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row>
    <row r="97" spans="1:40">
      <c r="A97" s="131"/>
      <c r="B97" s="131"/>
      <c r="C97" s="131"/>
      <c r="D97" s="131"/>
      <c r="E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row>
    <row r="98" spans="1:40">
      <c r="A98" s="131"/>
      <c r="B98" s="131"/>
      <c r="C98" s="131"/>
      <c r="D98" s="131"/>
      <c r="E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row>
    <row r="99" spans="1:40">
      <c r="A99" s="131"/>
      <c r="B99" s="131"/>
      <c r="C99" s="131"/>
      <c r="D99" s="131"/>
      <c r="E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row>
    <row r="100" spans="1:40">
      <c r="A100" s="131"/>
      <c r="B100" s="131"/>
      <c r="C100" s="131"/>
      <c r="D100" s="131"/>
      <c r="E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row>
    <row r="101" spans="1:40">
      <c r="A101" s="131"/>
      <c r="B101" s="131"/>
      <c r="C101" s="131"/>
      <c r="D101" s="131"/>
      <c r="E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row>
    <row r="102" spans="1:40">
      <c r="A102" s="131"/>
      <c r="B102" s="131"/>
      <c r="C102" s="131"/>
      <c r="D102" s="131"/>
      <c r="E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row>
    <row r="103" spans="1:40">
      <c r="A103" s="131"/>
      <c r="B103" s="131"/>
      <c r="C103" s="131"/>
      <c r="D103" s="131"/>
      <c r="E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row>
    <row r="104" spans="1:40">
      <c r="A104" s="131"/>
      <c r="B104" s="131"/>
      <c r="C104" s="131"/>
      <c r="D104" s="131"/>
      <c r="E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row>
    <row r="105" spans="1:40">
      <c r="A105" s="131"/>
      <c r="B105" s="131"/>
      <c r="C105" s="131"/>
      <c r="D105" s="131"/>
      <c r="E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row>
    <row r="106" spans="1:40">
      <c r="A106" s="131"/>
      <c r="B106" s="131"/>
      <c r="C106" s="131"/>
      <c r="D106" s="131"/>
      <c r="E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row>
    <row r="107" spans="1:40">
      <c r="A107" s="131"/>
      <c r="B107" s="131"/>
      <c r="C107" s="131"/>
      <c r="D107" s="131"/>
      <c r="E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row>
    <row r="108" spans="1:40">
      <c r="A108" s="131"/>
      <c r="B108" s="131"/>
      <c r="C108" s="131"/>
      <c r="D108" s="131"/>
      <c r="E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row>
    <row r="109" spans="1:40">
      <c r="A109" s="131"/>
      <c r="B109" s="131"/>
      <c r="C109" s="131"/>
      <c r="D109" s="131"/>
      <c r="E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row>
    <row r="110" spans="1:40">
      <c r="A110" s="131"/>
      <c r="B110" s="131"/>
      <c r="C110" s="131"/>
      <c r="D110" s="131"/>
      <c r="E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row>
    <row r="111" spans="1:40">
      <c r="A111" s="131"/>
      <c r="B111" s="131"/>
      <c r="C111" s="131"/>
      <c r="D111" s="131"/>
      <c r="E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row>
    <row r="112" spans="1:40">
      <c r="A112" s="131"/>
      <c r="B112" s="131"/>
      <c r="C112" s="131"/>
      <c r="D112" s="131"/>
      <c r="E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row>
    <row r="113" spans="1:40">
      <c r="A113" s="131"/>
      <c r="B113" s="131"/>
      <c r="C113" s="131"/>
      <c r="D113" s="131"/>
      <c r="E113" s="131"/>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row>
    <row r="114" spans="1:40">
      <c r="A114" s="131"/>
      <c r="B114" s="131"/>
      <c r="C114" s="131"/>
      <c r="D114" s="131"/>
      <c r="E114" s="131"/>
      <c r="G114" s="131"/>
      <c r="H114" s="131"/>
      <c r="I114" s="131"/>
      <c r="J114" s="131"/>
      <c r="K114" s="131"/>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c r="AL114" s="131"/>
      <c r="AM114" s="131"/>
      <c r="AN114" s="131"/>
    </row>
    <row r="115" spans="1:40">
      <c r="A115" s="131"/>
      <c r="B115" s="131"/>
      <c r="C115" s="131"/>
      <c r="D115" s="131"/>
      <c r="E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row>
    <row r="116" spans="1:40">
      <c r="A116" s="131"/>
      <c r="B116" s="131"/>
      <c r="C116" s="131"/>
      <c r="D116" s="131"/>
      <c r="E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row>
    <row r="117" spans="1:40">
      <c r="A117" s="131"/>
      <c r="B117" s="131"/>
      <c r="C117" s="131"/>
      <c r="D117" s="131"/>
      <c r="E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row>
    <row r="118" spans="1:40">
      <c r="A118" s="131"/>
      <c r="B118" s="131"/>
      <c r="C118" s="131"/>
      <c r="D118" s="131"/>
      <c r="E118" s="131"/>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row>
    <row r="119" spans="1:40">
      <c r="A119" s="131"/>
      <c r="B119" s="131"/>
      <c r="C119" s="131"/>
      <c r="D119" s="131"/>
      <c r="E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row>
    <row r="120" spans="1:40">
      <c r="A120" s="131"/>
      <c r="B120" s="131"/>
      <c r="C120" s="131"/>
      <c r="D120" s="131"/>
      <c r="E120" s="131"/>
      <c r="G120" s="131"/>
      <c r="H120" s="131"/>
      <c r="I120" s="131"/>
      <c r="J120" s="131"/>
      <c r="K120" s="131"/>
    </row>
  </sheetData>
  <mergeCells count="49">
    <mergeCell ref="B7:E7"/>
    <mergeCell ref="E20:G20"/>
    <mergeCell ref="E39:F39"/>
    <mergeCell ref="E40:F40"/>
    <mergeCell ref="E41:F41"/>
    <mergeCell ref="E29:F29"/>
    <mergeCell ref="E30:F30"/>
    <mergeCell ref="E25:F25"/>
    <mergeCell ref="E21:F21"/>
    <mergeCell ref="E22:F22"/>
    <mergeCell ref="A36:K36"/>
    <mergeCell ref="B38:C38"/>
    <mergeCell ref="E38:G38"/>
    <mergeCell ref="I38:J38"/>
    <mergeCell ref="E31:F31"/>
    <mergeCell ref="E32:F32"/>
    <mergeCell ref="G7:J7"/>
    <mergeCell ref="H8:J8"/>
    <mergeCell ref="H9:J9"/>
    <mergeCell ref="H10:J10"/>
    <mergeCell ref="H11:J11"/>
    <mergeCell ref="E53:F53"/>
    <mergeCell ref="E51:F51"/>
    <mergeCell ref="E52:F52"/>
    <mergeCell ref="E49:F49"/>
    <mergeCell ref="E50:F50"/>
    <mergeCell ref="E47:F47"/>
    <mergeCell ref="E48:F48"/>
    <mergeCell ref="E45:F45"/>
    <mergeCell ref="E46:F46"/>
    <mergeCell ref="E42:F42"/>
    <mergeCell ref="E43:F43"/>
    <mergeCell ref="E44:F44"/>
    <mergeCell ref="M23:N23"/>
    <mergeCell ref="M24:Q30"/>
    <mergeCell ref="E26:F26"/>
    <mergeCell ref="I25:J25"/>
    <mergeCell ref="E27:F27"/>
    <mergeCell ref="E23:F23"/>
    <mergeCell ref="B20:C20"/>
    <mergeCell ref="I20:J20"/>
    <mergeCell ref="C12:E12"/>
    <mergeCell ref="H12:J12"/>
    <mergeCell ref="C8:E8"/>
    <mergeCell ref="C9:E9"/>
    <mergeCell ref="C10:E10"/>
    <mergeCell ref="C11:E11"/>
    <mergeCell ref="B14:J14"/>
    <mergeCell ref="B15:J18"/>
  </mergeCells>
  <phoneticPr fontId="4" type="noConversion"/>
  <dataValidations count="1">
    <dataValidation type="list" allowBlank="1" showInputMessage="1" showErrorMessage="1" sqref="H9">
      <formula1>$AG$2:$AG$3</formula1>
    </dataValidation>
  </dataValidations>
  <pageMargins left="0" right="0" top="0" bottom="0" header="0" footer="0"/>
  <pageSetup orientation="landscape" horizontalDpi="0" verticalDpi="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workbookViewId="0">
      <selection activeCell="B79" sqref="B79"/>
    </sheetView>
  </sheetViews>
  <sheetFormatPr defaultRowHeight="15.75"/>
  <cols>
    <col min="1" max="1" width="38.125" customWidth="1"/>
    <col min="2" max="2" width="37.625" customWidth="1"/>
    <col min="3" max="3" width="144.375" customWidth="1"/>
  </cols>
  <sheetData>
    <row r="1" spans="1:3" ht="21.75" thickBot="1">
      <c r="A1" s="528" t="s">
        <v>482</v>
      </c>
      <c r="B1" s="528"/>
      <c r="C1" s="528"/>
    </row>
    <row r="2" spans="1:3" ht="19.5" thickBot="1">
      <c r="A2" s="510" t="s">
        <v>368</v>
      </c>
      <c r="B2" s="511"/>
      <c r="C2" s="512"/>
    </row>
    <row r="3" spans="1:3" ht="18.75">
      <c r="A3" s="429" t="s">
        <v>483</v>
      </c>
      <c r="B3" s="527" t="s">
        <v>444</v>
      </c>
      <c r="C3" s="527"/>
    </row>
    <row r="4" spans="1:3" ht="18.75">
      <c r="A4" s="430" t="s">
        <v>284</v>
      </c>
      <c r="B4" s="515" t="s">
        <v>484</v>
      </c>
      <c r="C4" s="515"/>
    </row>
    <row r="5" spans="1:3" ht="18.75">
      <c r="A5" s="430" t="s">
        <v>285</v>
      </c>
      <c r="B5" s="515" t="s">
        <v>485</v>
      </c>
      <c r="C5" s="515"/>
    </row>
    <row r="6" spans="1:3" ht="18.75">
      <c r="A6" s="430" t="s">
        <v>486</v>
      </c>
      <c r="B6" s="515" t="s">
        <v>445</v>
      </c>
      <c r="C6" s="515"/>
    </row>
    <row r="7" spans="1:3" ht="19.5" thickBot="1">
      <c r="A7" s="431" t="s">
        <v>487</v>
      </c>
      <c r="B7" s="524" t="s">
        <v>488</v>
      </c>
      <c r="C7" s="524"/>
    </row>
    <row r="8" spans="1:3" ht="19.5" thickBot="1">
      <c r="A8" s="510" t="s">
        <v>370</v>
      </c>
      <c r="B8" s="511"/>
      <c r="C8" s="512"/>
    </row>
    <row r="9" spans="1:3" ht="18.75">
      <c r="A9" s="429" t="s">
        <v>489</v>
      </c>
      <c r="B9" s="527" t="s">
        <v>490</v>
      </c>
      <c r="C9" s="527"/>
    </row>
    <row r="10" spans="1:3" ht="18.75">
      <c r="A10" s="430" t="s">
        <v>491</v>
      </c>
      <c r="B10" s="515" t="s">
        <v>492</v>
      </c>
      <c r="C10" s="515"/>
    </row>
    <row r="11" spans="1:3" ht="18.75">
      <c r="A11" s="430" t="s">
        <v>493</v>
      </c>
      <c r="B11" s="515" t="s">
        <v>494</v>
      </c>
      <c r="C11" s="515"/>
    </row>
    <row r="12" spans="1:3" ht="18.75">
      <c r="A12" s="430" t="s">
        <v>495</v>
      </c>
      <c r="B12" s="515" t="s">
        <v>496</v>
      </c>
      <c r="C12" s="515"/>
    </row>
    <row r="13" spans="1:3" ht="19.5" thickBot="1">
      <c r="A13" s="431" t="s">
        <v>497</v>
      </c>
      <c r="B13" s="524" t="s">
        <v>498</v>
      </c>
      <c r="C13" s="524"/>
    </row>
    <row r="14" spans="1:3" ht="19.5" thickBot="1">
      <c r="A14" s="510" t="s">
        <v>371</v>
      </c>
      <c r="B14" s="511"/>
      <c r="C14" s="512"/>
    </row>
    <row r="15" spans="1:3" ht="18.75">
      <c r="A15" s="432" t="s">
        <v>238</v>
      </c>
      <c r="B15" s="525" t="s">
        <v>446</v>
      </c>
      <c r="C15" s="525"/>
    </row>
    <row r="16" spans="1:3" ht="18.75">
      <c r="A16" s="433" t="s">
        <v>499</v>
      </c>
      <c r="B16" s="522" t="s">
        <v>447</v>
      </c>
      <c r="C16" s="522"/>
    </row>
    <row r="17" spans="1:3" ht="18.75">
      <c r="A17" s="433" t="s">
        <v>235</v>
      </c>
      <c r="B17" s="526" t="s">
        <v>449</v>
      </c>
      <c r="C17" s="526"/>
    </row>
    <row r="18" spans="1:3" ht="18.75">
      <c r="A18" s="433" t="s">
        <v>500</v>
      </c>
      <c r="B18" s="522" t="s">
        <v>448</v>
      </c>
      <c r="C18" s="522"/>
    </row>
    <row r="19" spans="1:3" ht="18.75">
      <c r="A19" s="433" t="s">
        <v>501</v>
      </c>
      <c r="B19" s="522" t="s">
        <v>450</v>
      </c>
      <c r="C19" s="522"/>
    </row>
    <row r="20" spans="1:3" ht="18.75">
      <c r="A20" s="433" t="s">
        <v>502</v>
      </c>
      <c r="B20" s="522" t="s">
        <v>503</v>
      </c>
      <c r="C20" s="522"/>
    </row>
    <row r="21" spans="1:3" ht="18.75">
      <c r="A21" s="433" t="s">
        <v>504</v>
      </c>
      <c r="B21" s="522" t="s">
        <v>505</v>
      </c>
      <c r="C21" s="522"/>
    </row>
    <row r="22" spans="1:3" ht="18.75">
      <c r="A22" s="433" t="s">
        <v>506</v>
      </c>
      <c r="B22" s="522" t="s">
        <v>507</v>
      </c>
      <c r="C22" s="522"/>
    </row>
    <row r="23" spans="1:3" ht="18.75">
      <c r="A23" s="433" t="s">
        <v>508</v>
      </c>
      <c r="B23" s="521" t="s">
        <v>509</v>
      </c>
      <c r="C23" s="521"/>
    </row>
    <row r="24" spans="1:3" ht="18.75">
      <c r="A24" s="433" t="s">
        <v>510</v>
      </c>
      <c r="B24" s="521" t="s">
        <v>511</v>
      </c>
      <c r="C24" s="521"/>
    </row>
    <row r="25" spans="1:3" ht="18.75">
      <c r="A25" s="433" t="s">
        <v>512</v>
      </c>
      <c r="B25" s="521" t="s">
        <v>513</v>
      </c>
      <c r="C25" s="521"/>
    </row>
    <row r="26" spans="1:3" ht="18.75">
      <c r="A26" s="433" t="s">
        <v>514</v>
      </c>
      <c r="B26" s="522" t="s">
        <v>515</v>
      </c>
      <c r="C26" s="522"/>
    </row>
    <row r="27" spans="1:3" ht="19.5" thickBot="1">
      <c r="A27" s="434" t="s">
        <v>245</v>
      </c>
      <c r="B27" s="523" t="s">
        <v>516</v>
      </c>
      <c r="C27" s="523"/>
    </row>
    <row r="28" spans="1:3" ht="19.5" thickBot="1">
      <c r="A28" s="510" t="s">
        <v>373</v>
      </c>
      <c r="B28" s="511"/>
      <c r="C28" s="512"/>
    </row>
    <row r="29" spans="1:3" ht="18.75">
      <c r="A29" s="435" t="s">
        <v>246</v>
      </c>
      <c r="B29" s="520" t="s">
        <v>451</v>
      </c>
      <c r="C29" s="520"/>
    </row>
    <row r="30" spans="1:3" ht="18.75">
      <c r="A30" s="430" t="s">
        <v>248</v>
      </c>
      <c r="B30" s="515" t="s">
        <v>452</v>
      </c>
      <c r="C30" s="515"/>
    </row>
    <row r="31" spans="1:3" ht="18.75">
      <c r="A31" s="430" t="s">
        <v>250</v>
      </c>
      <c r="B31" s="515" t="s">
        <v>453</v>
      </c>
      <c r="C31" s="515"/>
    </row>
    <row r="32" spans="1:3" ht="18.75">
      <c r="A32" s="430" t="s">
        <v>253</v>
      </c>
      <c r="B32" s="515" t="s">
        <v>454</v>
      </c>
      <c r="C32" s="515"/>
    </row>
    <row r="33" spans="1:3" ht="18.75">
      <c r="A33" s="430" t="s">
        <v>254</v>
      </c>
      <c r="B33" s="515" t="s">
        <v>455</v>
      </c>
      <c r="C33" s="515"/>
    </row>
    <row r="34" spans="1:3" ht="18.75">
      <c r="A34" s="430" t="s">
        <v>255</v>
      </c>
      <c r="B34" s="515" t="s">
        <v>456</v>
      </c>
      <c r="C34" s="515"/>
    </row>
    <row r="35" spans="1:3" ht="18.75">
      <c r="A35" s="430" t="s">
        <v>259</v>
      </c>
      <c r="B35" s="515" t="s">
        <v>517</v>
      </c>
      <c r="C35" s="515"/>
    </row>
    <row r="36" spans="1:3" ht="18.75">
      <c r="A36" s="430" t="s">
        <v>261</v>
      </c>
      <c r="B36" s="515" t="s">
        <v>518</v>
      </c>
      <c r="C36" s="515"/>
    </row>
    <row r="37" spans="1:3" ht="18.75">
      <c r="A37" s="430" t="s">
        <v>263</v>
      </c>
      <c r="B37" s="515" t="s">
        <v>519</v>
      </c>
      <c r="C37" s="515"/>
    </row>
    <row r="38" spans="1:3" ht="19.5" thickBot="1">
      <c r="A38" s="436" t="s">
        <v>267</v>
      </c>
      <c r="B38" s="517" t="s">
        <v>457</v>
      </c>
      <c r="C38" s="517"/>
    </row>
    <row r="39" spans="1:3" ht="19.5" thickBot="1">
      <c r="A39" s="510" t="s">
        <v>372</v>
      </c>
      <c r="B39" s="511"/>
      <c r="C39" s="512"/>
    </row>
    <row r="40" spans="1:3" ht="18.75">
      <c r="A40" s="435" t="s">
        <v>459</v>
      </c>
      <c r="B40" s="520" t="s">
        <v>460</v>
      </c>
      <c r="C40" s="520"/>
    </row>
    <row r="41" spans="1:3" ht="18.75">
      <c r="A41" s="430" t="s">
        <v>251</v>
      </c>
      <c r="B41" s="515" t="s">
        <v>520</v>
      </c>
      <c r="C41" s="515"/>
    </row>
    <row r="42" spans="1:3" ht="19.5" thickBot="1">
      <c r="A42" s="436" t="s">
        <v>458</v>
      </c>
      <c r="B42" s="517" t="s">
        <v>521</v>
      </c>
      <c r="C42" s="517"/>
    </row>
    <row r="43" spans="1:3" ht="19.5" thickBot="1">
      <c r="A43" s="510" t="s">
        <v>374</v>
      </c>
      <c r="B43" s="511"/>
      <c r="C43" s="512"/>
    </row>
    <row r="44" spans="1:3" ht="18.75">
      <c r="A44" s="435" t="s">
        <v>258</v>
      </c>
      <c r="B44" s="520" t="s">
        <v>462</v>
      </c>
      <c r="C44" s="520"/>
    </row>
    <row r="45" spans="1:3" ht="18.75">
      <c r="A45" s="430" t="s">
        <v>260</v>
      </c>
      <c r="B45" s="515" t="s">
        <v>463</v>
      </c>
      <c r="C45" s="515"/>
    </row>
    <row r="46" spans="1:3" ht="18.75">
      <c r="A46" s="430" t="s">
        <v>268</v>
      </c>
      <c r="B46" s="515" t="s">
        <v>522</v>
      </c>
      <c r="C46" s="515"/>
    </row>
    <row r="47" spans="1:3" ht="18.75">
      <c r="A47" s="430" t="s">
        <v>264</v>
      </c>
      <c r="B47" s="515" t="s">
        <v>465</v>
      </c>
      <c r="C47" s="515"/>
    </row>
    <row r="48" spans="1:3" ht="18.75">
      <c r="A48" s="430" t="s">
        <v>458</v>
      </c>
      <c r="B48" s="515" t="s">
        <v>521</v>
      </c>
      <c r="C48" s="515"/>
    </row>
    <row r="49" spans="1:3" ht="18.75">
      <c r="A49" s="430" t="s">
        <v>256</v>
      </c>
      <c r="B49" s="515" t="s">
        <v>461</v>
      </c>
      <c r="C49" s="515"/>
    </row>
    <row r="50" spans="1:3" ht="18.75">
      <c r="A50" s="433" t="s">
        <v>262</v>
      </c>
      <c r="B50" s="516" t="s">
        <v>464</v>
      </c>
      <c r="C50" s="516"/>
    </row>
    <row r="51" spans="1:3" ht="18.75">
      <c r="A51" s="436" t="s">
        <v>266</v>
      </c>
      <c r="B51" s="517" t="s">
        <v>466</v>
      </c>
      <c r="C51" s="517"/>
    </row>
    <row r="52" spans="1:3" ht="21">
      <c r="A52" s="518" t="s">
        <v>523</v>
      </c>
      <c r="B52" s="518"/>
      <c r="C52" s="518"/>
    </row>
    <row r="53" spans="1:3" ht="18.75" customHeight="1">
      <c r="A53" s="437" t="s">
        <v>471</v>
      </c>
      <c r="B53" s="519" t="s">
        <v>472</v>
      </c>
      <c r="C53" s="519"/>
    </row>
    <row r="54" spans="1:3" ht="18.75" customHeight="1" thickBot="1">
      <c r="A54" s="438" t="s">
        <v>478</v>
      </c>
      <c r="B54" s="514" t="s">
        <v>479</v>
      </c>
      <c r="C54" s="514"/>
    </row>
    <row r="55" spans="1:3" ht="18.75" customHeight="1" thickBot="1">
      <c r="A55" s="510" t="s">
        <v>415</v>
      </c>
      <c r="B55" s="511"/>
      <c r="C55" s="512"/>
    </row>
    <row r="56" spans="1:3" ht="18.75" customHeight="1">
      <c r="A56" s="439" t="s">
        <v>273</v>
      </c>
      <c r="B56" s="513" t="s">
        <v>467</v>
      </c>
      <c r="C56" s="513"/>
    </row>
    <row r="57" spans="1:3" ht="18.75" customHeight="1">
      <c r="A57" s="440" t="s">
        <v>275</v>
      </c>
      <c r="B57" s="508" t="s">
        <v>468</v>
      </c>
      <c r="C57" s="508"/>
    </row>
    <row r="58" spans="1:3" ht="18.75" customHeight="1">
      <c r="A58" s="440" t="s">
        <v>277</v>
      </c>
      <c r="B58" s="508" t="s">
        <v>469</v>
      </c>
      <c r="C58" s="508"/>
    </row>
    <row r="59" spans="1:3" ht="18.75" customHeight="1" thickBot="1">
      <c r="A59" s="438" t="s">
        <v>279</v>
      </c>
      <c r="B59" s="514" t="s">
        <v>470</v>
      </c>
      <c r="C59" s="514"/>
    </row>
    <row r="60" spans="1:3" ht="18.75" customHeight="1" thickBot="1">
      <c r="A60" s="441" t="s">
        <v>416</v>
      </c>
      <c r="B60" s="442"/>
      <c r="C60" s="443"/>
    </row>
    <row r="61" spans="1:3" ht="18.75" customHeight="1">
      <c r="A61" s="439" t="s">
        <v>473</v>
      </c>
      <c r="B61" s="513" t="s">
        <v>474</v>
      </c>
      <c r="C61" s="513"/>
    </row>
    <row r="62" spans="1:3" ht="18.75" customHeight="1">
      <c r="A62" s="440" t="s">
        <v>271</v>
      </c>
      <c r="B62" s="508" t="s">
        <v>476</v>
      </c>
      <c r="C62" s="508"/>
    </row>
    <row r="63" spans="1:3" ht="18.75" customHeight="1">
      <c r="A63" s="440" t="s">
        <v>272</v>
      </c>
      <c r="B63" s="508" t="s">
        <v>524</v>
      </c>
      <c r="C63" s="508"/>
    </row>
    <row r="64" spans="1:3" ht="18.75" customHeight="1">
      <c r="A64" s="440" t="s">
        <v>274</v>
      </c>
      <c r="B64" s="508" t="s">
        <v>475</v>
      </c>
      <c r="C64" s="508"/>
    </row>
    <row r="65" spans="1:3" ht="18.75" customHeight="1">
      <c r="A65" s="440" t="s">
        <v>276</v>
      </c>
      <c r="B65" s="508" t="s">
        <v>480</v>
      </c>
      <c r="C65" s="508"/>
    </row>
    <row r="66" spans="1:3" ht="18.75" customHeight="1">
      <c r="A66" s="440" t="s">
        <v>278</v>
      </c>
      <c r="B66" s="508" t="s">
        <v>481</v>
      </c>
      <c r="C66" s="508"/>
    </row>
    <row r="67" spans="1:3" ht="18.75" customHeight="1">
      <c r="A67" s="444" t="s">
        <v>280</v>
      </c>
      <c r="B67" s="509" t="s">
        <v>477</v>
      </c>
      <c r="C67" s="509"/>
    </row>
  </sheetData>
  <mergeCells count="66">
    <mergeCell ref="B6:C6"/>
    <mergeCell ref="A1:C1"/>
    <mergeCell ref="A2:C2"/>
    <mergeCell ref="B3:C3"/>
    <mergeCell ref="B4:C4"/>
    <mergeCell ref="B5:C5"/>
    <mergeCell ref="B18:C18"/>
    <mergeCell ref="B7:C7"/>
    <mergeCell ref="A8:C8"/>
    <mergeCell ref="B9:C9"/>
    <mergeCell ref="B10:C10"/>
    <mergeCell ref="B11:C11"/>
    <mergeCell ref="B12:C12"/>
    <mergeCell ref="B13:C13"/>
    <mergeCell ref="A14:C14"/>
    <mergeCell ref="B15:C15"/>
    <mergeCell ref="B16:C16"/>
    <mergeCell ref="B17:C17"/>
    <mergeCell ref="B30:C30"/>
    <mergeCell ref="B19:C19"/>
    <mergeCell ref="B20:C20"/>
    <mergeCell ref="B21:C21"/>
    <mergeCell ref="B22:C22"/>
    <mergeCell ref="B23:C23"/>
    <mergeCell ref="B24:C24"/>
    <mergeCell ref="B25:C25"/>
    <mergeCell ref="B26:C26"/>
    <mergeCell ref="B27:C27"/>
    <mergeCell ref="A28:C28"/>
    <mergeCell ref="B29:C29"/>
    <mergeCell ref="B42:C42"/>
    <mergeCell ref="B31:C31"/>
    <mergeCell ref="B32:C32"/>
    <mergeCell ref="B33:C33"/>
    <mergeCell ref="B34:C34"/>
    <mergeCell ref="B35:C35"/>
    <mergeCell ref="B36:C36"/>
    <mergeCell ref="B37:C37"/>
    <mergeCell ref="B38:C38"/>
    <mergeCell ref="A39:C39"/>
    <mergeCell ref="B40:C40"/>
    <mergeCell ref="B41:C41"/>
    <mergeCell ref="B54:C54"/>
    <mergeCell ref="A43:C43"/>
    <mergeCell ref="B44:C44"/>
    <mergeCell ref="B45:C45"/>
    <mergeCell ref="B46:C46"/>
    <mergeCell ref="B47:C47"/>
    <mergeCell ref="B48:C48"/>
    <mergeCell ref="B49:C49"/>
    <mergeCell ref="B50:C50"/>
    <mergeCell ref="B51:C51"/>
    <mergeCell ref="A52:C52"/>
    <mergeCell ref="B53:C53"/>
    <mergeCell ref="B67:C67"/>
    <mergeCell ref="A55:C55"/>
    <mergeCell ref="B56:C56"/>
    <mergeCell ref="B57:C57"/>
    <mergeCell ref="B58:C58"/>
    <mergeCell ref="B59:C59"/>
    <mergeCell ref="B61:C61"/>
    <mergeCell ref="B62:C62"/>
    <mergeCell ref="B63:C63"/>
    <mergeCell ref="B64:C64"/>
    <mergeCell ref="B65:C65"/>
    <mergeCell ref="B66:C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E114"/>
  <sheetViews>
    <sheetView showGridLines="0" topLeftCell="A4" zoomScale="85" zoomScaleNormal="85" workbookViewId="0">
      <selection activeCell="D13" sqref="D13"/>
    </sheetView>
  </sheetViews>
  <sheetFormatPr defaultColWidth="9.125" defaultRowHeight="12.75" outlineLevelRow="1"/>
  <cols>
    <col min="1" max="1" width="2.875" style="50" customWidth="1"/>
    <col min="2" max="2" width="40.625" style="52" customWidth="1"/>
    <col min="3" max="3" width="11.875" style="52" customWidth="1"/>
    <col min="4" max="4" width="15.125" style="52" customWidth="1"/>
    <col min="5" max="5" width="4" style="216" customWidth="1"/>
    <col min="6" max="6" width="40.625" style="62" customWidth="1"/>
    <col min="7" max="7" width="13.375" style="62" customWidth="1"/>
    <col min="8" max="8" width="15.5" style="52" customWidth="1"/>
    <col min="9" max="9" width="4.5" style="51" customWidth="1"/>
    <col min="10" max="13" width="9.125" style="245" customWidth="1"/>
    <col min="14" max="15" width="9.125" style="50" customWidth="1"/>
    <col min="16" max="55" width="9.125" style="50"/>
    <col min="56" max="56" width="13.375" style="50" bestFit="1" customWidth="1"/>
    <col min="57" max="16384" width="9.125" style="50"/>
  </cols>
  <sheetData>
    <row r="1" spans="1:57" s="120" customFormat="1" ht="72" customHeight="1">
      <c r="B1" s="124" t="s">
        <v>310</v>
      </c>
      <c r="C1" s="125"/>
      <c r="D1" s="125"/>
      <c r="E1" s="125"/>
      <c r="F1" s="125"/>
      <c r="G1" s="99"/>
      <c r="H1" s="99"/>
      <c r="I1" s="99"/>
      <c r="J1" s="125"/>
      <c r="K1" s="125"/>
      <c r="L1" s="125"/>
      <c r="M1" s="125"/>
    </row>
    <row r="2" spans="1:57" s="101" customFormat="1" ht="15" hidden="1" customHeight="1">
      <c r="B2" s="116"/>
      <c r="C2" s="121"/>
      <c r="D2" s="121"/>
      <c r="E2" s="121"/>
      <c r="F2" s="121"/>
      <c r="G2" s="121"/>
      <c r="H2" s="121"/>
      <c r="J2" s="109"/>
      <c r="K2" s="109"/>
      <c r="L2" s="109"/>
      <c r="M2" s="109"/>
      <c r="BC2" s="102" t="s">
        <v>230</v>
      </c>
      <c r="BD2" s="103" t="s">
        <v>231</v>
      </c>
      <c r="BE2" s="257">
        <f>SUM('Deal Information'!C11:E11)</f>
        <v>1200</v>
      </c>
    </row>
    <row r="3" spans="1:57" s="101" customFormat="1" ht="15" hidden="1" customHeight="1">
      <c r="B3" s="116"/>
      <c r="C3" s="122"/>
      <c r="D3" s="122"/>
      <c r="E3" s="122"/>
      <c r="F3" s="116"/>
      <c r="G3" s="118"/>
      <c r="H3" s="117"/>
      <c r="J3" s="109"/>
      <c r="K3" s="109"/>
      <c r="L3" s="109"/>
      <c r="M3" s="109"/>
      <c r="BC3" s="105" t="s">
        <v>232</v>
      </c>
      <c r="BD3" s="106" t="s">
        <v>233</v>
      </c>
    </row>
    <row r="4" spans="1:57" s="101" customFormat="1" ht="13.5" thickBot="1">
      <c r="B4" s="116"/>
      <c r="C4" s="123"/>
      <c r="D4" s="123"/>
      <c r="E4" s="123"/>
      <c r="F4" s="116"/>
      <c r="G4" s="119"/>
      <c r="J4" s="109"/>
      <c r="K4" s="109"/>
      <c r="L4" s="109"/>
      <c r="M4" s="109"/>
      <c r="BC4" s="107"/>
      <c r="BD4" s="108" t="s">
        <v>235</v>
      </c>
    </row>
    <row r="5" spans="1:57" s="101" customFormat="1" ht="18.75" customHeight="1" thickBot="1">
      <c r="A5" s="261"/>
      <c r="B5" s="262"/>
      <c r="C5" s="263"/>
      <c r="D5" s="263"/>
      <c r="E5" s="263"/>
      <c r="F5" s="262"/>
      <c r="G5" s="264"/>
      <c r="H5" s="265"/>
      <c r="I5" s="266"/>
      <c r="J5" s="109"/>
      <c r="K5" s="109"/>
      <c r="L5" s="109"/>
      <c r="M5" s="109"/>
      <c r="BC5" s="126"/>
      <c r="BD5" s="126"/>
    </row>
    <row r="6" spans="1:57" s="101" customFormat="1" ht="27" customHeight="1">
      <c r="A6" s="408"/>
      <c r="B6" s="428" t="s">
        <v>229</v>
      </c>
      <c r="C6" s="571" t="s">
        <v>526</v>
      </c>
      <c r="D6" s="572"/>
      <c r="E6" s="412"/>
      <c r="F6" s="415" t="s">
        <v>440</v>
      </c>
      <c r="G6" s="425">
        <v>1</v>
      </c>
      <c r="H6" s="416"/>
      <c r="I6" s="413"/>
      <c r="J6" s="109"/>
      <c r="K6" s="109"/>
      <c r="L6" s="109"/>
      <c r="M6" s="109"/>
      <c r="BC6" s="126"/>
      <c r="BD6" s="126"/>
    </row>
    <row r="7" spans="1:57" s="101" customFormat="1" ht="20.25" customHeight="1">
      <c r="A7" s="408"/>
      <c r="B7" s="427" t="s">
        <v>439</v>
      </c>
      <c r="C7" s="714">
        <v>1200</v>
      </c>
      <c r="D7" s="715"/>
      <c r="E7" s="412"/>
      <c r="F7" s="417" t="s">
        <v>234</v>
      </c>
      <c r="G7" s="424" t="s">
        <v>529</v>
      </c>
      <c r="H7" s="418"/>
      <c r="I7" s="413"/>
      <c r="J7" s="109"/>
      <c r="K7" s="109"/>
      <c r="L7" s="109"/>
      <c r="M7" s="109"/>
      <c r="BC7" s="126"/>
      <c r="BD7" s="126"/>
    </row>
    <row r="8" spans="1:57" s="101" customFormat="1" ht="18.75" customHeight="1">
      <c r="A8" s="408"/>
      <c r="B8" s="427" t="s">
        <v>441</v>
      </c>
      <c r="C8" s="567" t="s">
        <v>525</v>
      </c>
      <c r="D8" s="568"/>
      <c r="E8" s="412"/>
      <c r="F8" s="417"/>
      <c r="G8" s="424"/>
      <c r="H8" s="418"/>
      <c r="I8" s="413"/>
      <c r="J8" s="109"/>
      <c r="K8" s="109"/>
      <c r="L8" s="109"/>
      <c r="M8" s="109"/>
      <c r="BC8" s="126"/>
      <c r="BD8" s="126"/>
    </row>
    <row r="9" spans="1:57" s="101" customFormat="1" ht="24" customHeight="1">
      <c r="A9" s="408"/>
      <c r="B9" s="427" t="s">
        <v>442</v>
      </c>
      <c r="C9" s="567" t="s">
        <v>528</v>
      </c>
      <c r="D9" s="568"/>
      <c r="E9" s="412"/>
      <c r="F9" s="419" t="s">
        <v>443</v>
      </c>
      <c r="G9" s="420" t="s">
        <v>232</v>
      </c>
      <c r="H9" s="421"/>
      <c r="I9" s="413"/>
      <c r="J9" s="109"/>
      <c r="K9" s="109"/>
      <c r="L9" s="109"/>
      <c r="M9" s="109"/>
      <c r="BC9" s="126"/>
      <c r="BD9" s="126"/>
    </row>
    <row r="10" spans="1:57" s="101" customFormat="1" ht="45" customHeight="1" thickBot="1">
      <c r="A10" s="408"/>
      <c r="B10" s="414"/>
      <c r="C10" s="569"/>
      <c r="D10" s="570"/>
      <c r="E10" s="410"/>
      <c r="F10" s="422"/>
      <c r="G10" s="426"/>
      <c r="H10" s="423"/>
      <c r="I10" s="413"/>
      <c r="J10" s="109"/>
      <c r="K10" s="109"/>
      <c r="L10" s="109"/>
      <c r="M10" s="109"/>
      <c r="BC10" s="126"/>
      <c r="BD10" s="126"/>
    </row>
    <row r="11" spans="1:57" s="101" customFormat="1" ht="24.75" customHeight="1" thickBot="1">
      <c r="A11" s="408"/>
      <c r="B11" s="409"/>
      <c r="C11" s="410"/>
      <c r="D11" s="410"/>
      <c r="E11" s="410"/>
      <c r="F11" s="409"/>
      <c r="G11" s="411"/>
      <c r="H11" s="412"/>
      <c r="I11" s="413"/>
      <c r="J11" s="109"/>
      <c r="K11" s="109"/>
      <c r="L11" s="109"/>
      <c r="M11" s="109"/>
      <c r="BC11" s="126"/>
      <c r="BD11" s="126"/>
    </row>
    <row r="12" spans="1:57" s="209" customFormat="1" ht="23.1" customHeight="1" thickBot="1">
      <c r="A12" s="267"/>
      <c r="B12" s="529" t="s">
        <v>401</v>
      </c>
      <c r="C12" s="530"/>
      <c r="D12" s="531"/>
      <c r="E12" s="227"/>
      <c r="F12" s="220" t="s">
        <v>402</v>
      </c>
      <c r="G12" s="221" t="s">
        <v>236</v>
      </c>
      <c r="H12" s="222" t="s">
        <v>237</v>
      </c>
      <c r="I12" s="241"/>
      <c r="J12" s="208"/>
      <c r="K12" s="208"/>
      <c r="L12" s="208"/>
      <c r="M12" s="208"/>
    </row>
    <row r="13" spans="1:57" s="209" customFormat="1" ht="20.100000000000001" customHeight="1" outlineLevel="1">
      <c r="A13" s="267"/>
      <c r="B13" s="532" t="s">
        <v>238</v>
      </c>
      <c r="C13" s="533"/>
      <c r="D13" s="345">
        <f>SUM('Deal Information'!C21)</f>
        <v>200000</v>
      </c>
      <c r="E13" s="228"/>
      <c r="F13" s="218" t="s">
        <v>239</v>
      </c>
      <c r="G13" s="346">
        <f>SUM('Deal Information'!C25)</f>
        <v>1000</v>
      </c>
      <c r="H13" s="347">
        <f>G13/12</f>
        <v>83.333333333333329</v>
      </c>
      <c r="I13" s="241"/>
      <c r="J13" s="208"/>
      <c r="K13" s="208"/>
      <c r="L13" s="208"/>
      <c r="M13" s="208"/>
    </row>
    <row r="14" spans="1:57" s="209" customFormat="1" ht="20.100000000000001" customHeight="1" outlineLevel="1">
      <c r="A14" s="267"/>
      <c r="B14" s="534" t="s">
        <v>240</v>
      </c>
      <c r="C14" s="535"/>
      <c r="D14" s="344">
        <f>SUM('Deal Information'!C22)</f>
        <v>50000</v>
      </c>
      <c r="E14" s="228"/>
      <c r="F14" s="218" t="s">
        <v>241</v>
      </c>
      <c r="G14" s="348">
        <f>SUM(H14*12)</f>
        <v>0</v>
      </c>
      <c r="H14" s="344">
        <f>SUM('Deal Information'!C27)</f>
        <v>0</v>
      </c>
      <c r="I14" s="241"/>
      <c r="J14" s="208"/>
      <c r="K14" s="208"/>
      <c r="L14" s="208"/>
      <c r="M14" s="208"/>
    </row>
    <row r="15" spans="1:57" s="209" customFormat="1" ht="20.100000000000001" customHeight="1" outlineLevel="1">
      <c r="A15" s="267"/>
      <c r="B15" s="534" t="s">
        <v>242</v>
      </c>
      <c r="C15" s="535"/>
      <c r="D15" s="219">
        <f>SUM('Repair Estimator'!G239:K239)</f>
        <v>0</v>
      </c>
      <c r="E15" s="228"/>
      <c r="F15" s="218" t="s">
        <v>243</v>
      </c>
      <c r="G15" s="346">
        <f>SUM('Deal Information'!C26)</f>
        <v>500</v>
      </c>
      <c r="H15" s="349">
        <f>G15/12</f>
        <v>41.666666666666664</v>
      </c>
      <c r="I15" s="241"/>
      <c r="J15" s="208"/>
      <c r="K15" s="208"/>
      <c r="L15" s="208"/>
      <c r="M15" s="208"/>
    </row>
    <row r="16" spans="1:57" s="209" customFormat="1" ht="20.100000000000001" customHeight="1" outlineLevel="1">
      <c r="A16" s="267"/>
      <c r="B16" s="536" t="s">
        <v>235</v>
      </c>
      <c r="C16" s="537"/>
      <c r="D16" s="344">
        <f>SUM('Deal Information'!C23)</f>
        <v>50000</v>
      </c>
      <c r="E16" s="229"/>
      <c r="F16" s="218" t="s">
        <v>399</v>
      </c>
      <c r="G16" s="350"/>
      <c r="H16" s="351">
        <f>SUM('Deal Information'!C28:C31)</f>
        <v>250</v>
      </c>
      <c r="I16" s="241"/>
      <c r="J16" s="208"/>
      <c r="K16" s="208"/>
      <c r="L16" s="208"/>
      <c r="M16" s="208"/>
    </row>
    <row r="17" spans="1:13" s="209" customFormat="1" ht="20.100000000000001" customHeight="1" outlineLevel="1" thickBot="1">
      <c r="A17" s="267"/>
      <c r="B17" s="534" t="s">
        <v>244</v>
      </c>
      <c r="C17" s="535"/>
      <c r="D17" s="343">
        <f>SUM('Deal Information'!C24)</f>
        <v>4</v>
      </c>
      <c r="E17" s="230"/>
      <c r="F17" s="223" t="s">
        <v>245</v>
      </c>
      <c r="G17" s="352"/>
      <c r="H17" s="344">
        <f>SUM('Deal Information'!C32)</f>
        <v>0</v>
      </c>
      <c r="I17" s="241"/>
      <c r="J17" s="208"/>
      <c r="K17" s="208"/>
      <c r="L17" s="208"/>
      <c r="M17" s="208"/>
    </row>
    <row r="18" spans="1:13" s="209" customFormat="1" ht="23.1" customHeight="1" thickTop="1">
      <c r="A18" s="267"/>
      <c r="B18" s="541" t="s">
        <v>403</v>
      </c>
      <c r="C18" s="542"/>
      <c r="D18" s="543"/>
      <c r="E18" s="212"/>
      <c r="F18" s="541" t="s">
        <v>404</v>
      </c>
      <c r="G18" s="542"/>
      <c r="H18" s="543"/>
      <c r="I18" s="241"/>
      <c r="J18" s="208"/>
      <c r="K18" s="208"/>
      <c r="L18" s="208"/>
      <c r="M18" s="208"/>
    </row>
    <row r="19" spans="1:13" s="209" customFormat="1" ht="36" customHeight="1" thickBot="1">
      <c r="A19" s="267"/>
      <c r="B19" s="538">
        <f>SUM(D15:D16)</f>
        <v>50000</v>
      </c>
      <c r="C19" s="539"/>
      <c r="D19" s="540"/>
      <c r="E19" s="212"/>
      <c r="F19" s="538">
        <f>SUM(H13:H17)</f>
        <v>375</v>
      </c>
      <c r="G19" s="539"/>
      <c r="H19" s="540"/>
      <c r="I19" s="241"/>
      <c r="J19" s="208"/>
      <c r="K19" s="208"/>
      <c r="L19" s="208"/>
      <c r="M19" s="208"/>
    </row>
    <row r="20" spans="1:13" s="208" customFormat="1" ht="23.1" customHeight="1" thickTop="1" thickBot="1">
      <c r="A20" s="267"/>
      <c r="B20" s="211"/>
      <c r="C20" s="211"/>
      <c r="D20" s="212"/>
      <c r="E20" s="212"/>
      <c r="F20" s="211"/>
      <c r="G20" s="211"/>
      <c r="H20" s="213"/>
      <c r="I20" s="241"/>
    </row>
    <row r="21" spans="1:13" s="208" customFormat="1" ht="23.1" customHeight="1" thickBot="1">
      <c r="A21" s="267"/>
      <c r="B21" s="548" t="s">
        <v>411</v>
      </c>
      <c r="C21" s="548"/>
      <c r="D21" s="548"/>
      <c r="E21" s="212"/>
      <c r="F21" s="342" t="s">
        <v>231</v>
      </c>
      <c r="G21" s="214"/>
      <c r="H21" s="229"/>
      <c r="I21" s="241"/>
    </row>
    <row r="22" spans="1:13" s="208" customFormat="1" ht="23.1" customHeight="1" thickBot="1">
      <c r="A22" s="267"/>
      <c r="B22" s="211"/>
      <c r="C22" s="211"/>
      <c r="D22" s="212"/>
      <c r="E22" s="212"/>
      <c r="F22" s="211"/>
      <c r="G22" s="211"/>
      <c r="H22" s="213"/>
      <c r="I22" s="241"/>
    </row>
    <row r="23" spans="1:13" s="209" customFormat="1" ht="23.1" customHeight="1" thickBot="1">
      <c r="A23" s="267"/>
      <c r="B23" s="231" t="s">
        <v>373</v>
      </c>
      <c r="C23" s="232"/>
      <c r="D23" s="233"/>
      <c r="E23" s="229"/>
      <c r="F23" s="220" t="s">
        <v>405</v>
      </c>
      <c r="G23" s="221" t="s">
        <v>406</v>
      </c>
      <c r="H23" s="222" t="s">
        <v>160</v>
      </c>
      <c r="I23" s="241"/>
      <c r="J23" s="208"/>
      <c r="K23" s="208"/>
      <c r="L23" s="208"/>
      <c r="M23" s="208"/>
    </row>
    <row r="24" spans="1:13" s="209" customFormat="1" ht="18.95" customHeight="1" outlineLevel="1">
      <c r="A24" s="267"/>
      <c r="B24" s="236" t="s">
        <v>246</v>
      </c>
      <c r="C24" s="353">
        <f>SUM('Deal Information'!G21)</f>
        <v>0.75</v>
      </c>
      <c r="D24" s="243">
        <f>IF($F$21="ARV",$D$13*C24,IF($F$21="Purchase+Rehab",(($D$16+$D$15)*C24),IF($F$21="Purchase Price",($D$16*C24))))</f>
        <v>150000</v>
      </c>
      <c r="E24" s="234"/>
      <c r="F24" s="236" t="s">
        <v>247</v>
      </c>
      <c r="G24" s="361"/>
      <c r="H24" s="362">
        <f>SUM('Deal Information'!J23)</f>
        <v>500</v>
      </c>
      <c r="I24" s="241"/>
      <c r="J24" s="208"/>
      <c r="K24" s="208"/>
      <c r="L24" s="208"/>
      <c r="M24" s="208"/>
    </row>
    <row r="25" spans="1:13" s="209" customFormat="1" ht="18.95" customHeight="1" outlineLevel="1">
      <c r="A25" s="267"/>
      <c r="B25" s="236" t="s">
        <v>248</v>
      </c>
      <c r="C25" s="354">
        <f>SUM('Deal Information'!G22)</f>
        <v>0</v>
      </c>
      <c r="D25" s="355">
        <f>C25/100*D24</f>
        <v>0</v>
      </c>
      <c r="E25" s="235"/>
      <c r="F25" s="236" t="s">
        <v>249</v>
      </c>
      <c r="G25" s="361">
        <f>SUM('Deal Information'!J21)</f>
        <v>2.5000000000000001E-3</v>
      </c>
      <c r="H25" s="362">
        <f>(500)+(G25*D16)</f>
        <v>625</v>
      </c>
      <c r="I25" s="241"/>
      <c r="J25" s="208"/>
      <c r="K25" s="208"/>
      <c r="L25" s="208"/>
      <c r="M25" s="208"/>
    </row>
    <row r="26" spans="1:13" s="209" customFormat="1" ht="18.95" customHeight="1" outlineLevel="1" thickBot="1">
      <c r="A26" s="267"/>
      <c r="B26" s="237" t="s">
        <v>250</v>
      </c>
      <c r="C26" s="353">
        <f>SUM('Deal Information'!G23)</f>
        <v>0.12</v>
      </c>
      <c r="D26" s="356">
        <f>D24*C26/12*D17</f>
        <v>6000</v>
      </c>
      <c r="E26" s="235"/>
      <c r="F26" s="244" t="s">
        <v>251</v>
      </c>
      <c r="G26" s="364"/>
      <c r="H26" s="366">
        <f>SUM('Deal Information'!J22)</f>
        <v>0</v>
      </c>
      <c r="I26" s="241"/>
      <c r="J26" s="208"/>
      <c r="K26" s="208"/>
      <c r="L26" s="208"/>
      <c r="M26" s="208"/>
    </row>
    <row r="27" spans="1:13" s="209" customFormat="1" ht="18.95" customHeight="1" outlineLevel="1" thickTop="1">
      <c r="A27" s="267"/>
      <c r="B27" s="237" t="s">
        <v>252</v>
      </c>
      <c r="C27" s="350"/>
      <c r="D27" s="355">
        <f>D26/D17</f>
        <v>1500</v>
      </c>
      <c r="E27" s="235"/>
      <c r="F27" s="541" t="s">
        <v>408</v>
      </c>
      <c r="G27" s="542"/>
      <c r="H27" s="543"/>
      <c r="I27" s="241"/>
      <c r="J27" s="208"/>
      <c r="K27" s="208"/>
      <c r="L27" s="208"/>
      <c r="M27" s="208"/>
    </row>
    <row r="28" spans="1:13" s="209" customFormat="1" ht="17.100000000000001" customHeight="1" outlineLevel="1">
      <c r="A28" s="267"/>
      <c r="B28" s="237"/>
      <c r="C28" s="350"/>
      <c r="D28" s="355"/>
      <c r="E28" s="235"/>
      <c r="F28" s="552">
        <f>SUM(H24:H26)</f>
        <v>1125</v>
      </c>
      <c r="G28" s="553"/>
      <c r="H28" s="554"/>
      <c r="I28" s="241"/>
      <c r="J28" s="208"/>
      <c r="K28" s="208"/>
      <c r="L28" s="208"/>
      <c r="M28" s="208"/>
    </row>
    <row r="29" spans="1:13" s="209" customFormat="1" ht="18.95" customHeight="1" outlineLevel="1" thickBot="1">
      <c r="A29" s="267"/>
      <c r="B29" s="236" t="s">
        <v>253</v>
      </c>
      <c r="C29" s="353">
        <f>SUM('Deal Information'!G25)</f>
        <v>0</v>
      </c>
      <c r="D29" s="243">
        <f>IF($F$21="ARV",$D$13*C29,IF($F$21="Purchase+Rehab",(($D$16+$D$15)*C29),IF($F$21="Purchase Price",($D$16*C29))))</f>
        <v>0</v>
      </c>
      <c r="E29" s="235"/>
      <c r="F29" s="538"/>
      <c r="G29" s="539"/>
      <c r="H29" s="540"/>
      <c r="I29" s="241"/>
      <c r="J29" s="208"/>
      <c r="K29" s="208"/>
      <c r="L29" s="208"/>
      <c r="M29" s="208"/>
    </row>
    <row r="30" spans="1:13" s="209" customFormat="1" ht="18.95" customHeight="1" outlineLevel="1" thickTop="1" thickBot="1">
      <c r="A30" s="267"/>
      <c r="B30" s="236" t="s">
        <v>254</v>
      </c>
      <c r="C30" s="354">
        <f>SUM('Deal Information'!G26)</f>
        <v>0</v>
      </c>
      <c r="D30" s="355">
        <f>C30/100*D29</f>
        <v>0</v>
      </c>
      <c r="E30" s="235"/>
      <c r="F30" s="211"/>
      <c r="G30" s="211"/>
      <c r="H30" s="213"/>
      <c r="I30" s="241"/>
      <c r="J30" s="208"/>
      <c r="K30" s="208"/>
      <c r="L30" s="208"/>
      <c r="M30" s="208"/>
    </row>
    <row r="31" spans="1:13" s="209" customFormat="1" ht="18.95" customHeight="1" outlineLevel="1" thickBot="1">
      <c r="A31" s="267"/>
      <c r="B31" s="236" t="s">
        <v>255</v>
      </c>
      <c r="C31" s="353">
        <f>SUM('Deal Information'!G27)</f>
        <v>0</v>
      </c>
      <c r="D31" s="356">
        <f>D29*C31/12*D17</f>
        <v>0</v>
      </c>
      <c r="E31" s="234"/>
      <c r="F31" s="220" t="s">
        <v>409</v>
      </c>
      <c r="G31" s="221" t="s">
        <v>410</v>
      </c>
      <c r="H31" s="222" t="s">
        <v>160</v>
      </c>
      <c r="I31" s="268"/>
      <c r="J31" s="208"/>
      <c r="K31" s="208"/>
      <c r="L31" s="208"/>
      <c r="M31" s="208"/>
    </row>
    <row r="32" spans="1:13" s="209" customFormat="1" ht="18.95" customHeight="1" outlineLevel="1">
      <c r="A32" s="267"/>
      <c r="B32" s="237" t="s">
        <v>257</v>
      </c>
      <c r="C32" s="350"/>
      <c r="D32" s="355">
        <f>D31/D17</f>
        <v>0</v>
      </c>
      <c r="E32" s="235"/>
      <c r="F32" s="236" t="s">
        <v>247</v>
      </c>
      <c r="G32" s="361"/>
      <c r="H32" s="362">
        <f>SUM('Deal Information'!J30)</f>
        <v>500</v>
      </c>
      <c r="I32" s="268"/>
      <c r="J32" s="208"/>
      <c r="K32" s="208"/>
      <c r="L32" s="208"/>
      <c r="M32" s="208"/>
    </row>
    <row r="33" spans="1:13" s="209" customFormat="1" ht="18.95" customHeight="1" outlineLevel="1">
      <c r="A33" s="267"/>
      <c r="B33" s="240"/>
      <c r="C33" s="357"/>
      <c r="D33" s="358"/>
      <c r="E33" s="235"/>
      <c r="F33" s="236" t="s">
        <v>256</v>
      </c>
      <c r="G33" s="361"/>
      <c r="H33" s="243">
        <f>SUM('Deal Information'!J31)</f>
        <v>350</v>
      </c>
      <c r="I33" s="268"/>
      <c r="J33" s="208"/>
      <c r="K33" s="208"/>
      <c r="L33" s="208"/>
      <c r="M33" s="208"/>
    </row>
    <row r="34" spans="1:13" s="209" customFormat="1" ht="18.95" customHeight="1" outlineLevel="1">
      <c r="A34" s="267"/>
      <c r="B34" s="236" t="s">
        <v>259</v>
      </c>
      <c r="C34" s="353">
        <f>SUM('Deal Information'!G29)</f>
        <v>0</v>
      </c>
      <c r="D34" s="243">
        <f>IF($F$21="ARV",$D$13*C34,IF($F$21="Purchase+Rehab",(($D$16+$D$15)*C34),IF($F$21="Purchase Price",($D$16*C34))))</f>
        <v>0</v>
      </c>
      <c r="E34" s="235"/>
      <c r="F34" s="236" t="s">
        <v>258</v>
      </c>
      <c r="G34" s="361">
        <f>SUM('Deal Information'!J26)</f>
        <v>0.03</v>
      </c>
      <c r="H34" s="355">
        <f>G34*D13</f>
        <v>6000</v>
      </c>
      <c r="I34" s="268"/>
      <c r="J34" s="208"/>
      <c r="K34" s="208"/>
      <c r="L34" s="208"/>
      <c r="M34" s="208"/>
    </row>
    <row r="35" spans="1:13" s="209" customFormat="1" ht="18.95" customHeight="1" outlineLevel="1">
      <c r="A35" s="267"/>
      <c r="B35" s="236" t="s">
        <v>261</v>
      </c>
      <c r="C35" s="354">
        <f>SUM('Deal Information'!G30)</f>
        <v>0</v>
      </c>
      <c r="D35" s="355">
        <f>C35/100*D34</f>
        <v>0</v>
      </c>
      <c r="E35" s="234"/>
      <c r="F35" s="236" t="s">
        <v>260</v>
      </c>
      <c r="G35" s="361">
        <f>SUM('Deal Information'!J27)</f>
        <v>1.1999999999999999E-3</v>
      </c>
      <c r="H35" s="355">
        <f>G35*D13</f>
        <v>239.99999999999997</v>
      </c>
      <c r="I35" s="268"/>
      <c r="J35" s="208"/>
      <c r="K35" s="208"/>
      <c r="L35" s="208"/>
      <c r="M35" s="208"/>
    </row>
    <row r="36" spans="1:13" s="209" customFormat="1" ht="18.95" customHeight="1" outlineLevel="1">
      <c r="A36" s="267"/>
      <c r="B36" s="238" t="s">
        <v>263</v>
      </c>
      <c r="C36" s="353">
        <f>SUM('Deal Information'!G31)</f>
        <v>0</v>
      </c>
      <c r="D36" s="356">
        <f>D34*C36/12*D17</f>
        <v>0</v>
      </c>
      <c r="E36" s="235"/>
      <c r="F36" s="236" t="s">
        <v>262</v>
      </c>
      <c r="G36" s="363"/>
      <c r="H36" s="243">
        <f>SUM('Deal Information'!J32)</f>
        <v>500</v>
      </c>
      <c r="I36" s="268"/>
      <c r="J36" s="208"/>
      <c r="K36" s="208"/>
      <c r="L36" s="208"/>
      <c r="M36" s="208"/>
    </row>
    <row r="37" spans="1:13" s="209" customFormat="1" ht="18.95" customHeight="1" outlineLevel="1">
      <c r="A37" s="267"/>
      <c r="B37" s="237" t="s">
        <v>265</v>
      </c>
      <c r="C37" s="350"/>
      <c r="D37" s="355">
        <f>D36/D17</f>
        <v>0</v>
      </c>
      <c r="E37" s="235"/>
      <c r="F37" s="236" t="s">
        <v>264</v>
      </c>
      <c r="G37" s="363"/>
      <c r="H37" s="243">
        <f>SUM('Deal Information'!J29)</f>
        <v>0</v>
      </c>
      <c r="I37" s="268"/>
      <c r="J37" s="242"/>
      <c r="K37" s="242"/>
      <c r="L37" s="208"/>
      <c r="M37" s="208"/>
    </row>
    <row r="38" spans="1:13" s="209" customFormat="1" ht="18.95" customHeight="1" outlineLevel="1">
      <c r="A38" s="267"/>
      <c r="B38" s="240"/>
      <c r="C38" s="357"/>
      <c r="D38" s="358"/>
      <c r="E38" s="235"/>
      <c r="F38" s="236" t="s">
        <v>266</v>
      </c>
      <c r="G38" s="363"/>
      <c r="H38" s="243">
        <f>SUM('Deal Information'!J33)</f>
        <v>500</v>
      </c>
      <c r="I38" s="269"/>
      <c r="J38" s="210"/>
      <c r="K38" s="208"/>
      <c r="L38" s="208"/>
      <c r="M38" s="208"/>
    </row>
    <row r="39" spans="1:13" s="209" customFormat="1" ht="18.95" customHeight="1" outlineLevel="1" thickBot="1">
      <c r="A39" s="267"/>
      <c r="B39" s="239" t="s">
        <v>267</v>
      </c>
      <c r="C39" s="359"/>
      <c r="D39" s="360">
        <f>SUM('Deal Information'!G32)</f>
        <v>0</v>
      </c>
      <c r="E39" s="228"/>
      <c r="F39" s="244" t="s">
        <v>268</v>
      </c>
      <c r="G39" s="364"/>
      <c r="H39" s="365">
        <v>0</v>
      </c>
      <c r="I39" s="268"/>
      <c r="J39" s="210"/>
      <c r="K39" s="208"/>
      <c r="L39" s="208"/>
      <c r="M39" s="208"/>
    </row>
    <row r="40" spans="1:13" s="209" customFormat="1" ht="23.1" customHeight="1" thickTop="1">
      <c r="A40" s="267"/>
      <c r="B40" s="549" t="s">
        <v>273</v>
      </c>
      <c r="C40" s="550"/>
      <c r="D40" s="551"/>
      <c r="E40" s="212"/>
      <c r="F40" s="541" t="s">
        <v>407</v>
      </c>
      <c r="G40" s="542"/>
      <c r="H40" s="543"/>
      <c r="I40" s="268"/>
      <c r="J40" s="210"/>
      <c r="K40" s="208"/>
      <c r="L40" s="208"/>
      <c r="M40" s="208"/>
    </row>
    <row r="41" spans="1:13" s="209" customFormat="1" ht="36" customHeight="1" thickBot="1">
      <c r="A41" s="267"/>
      <c r="B41" s="538">
        <f>SUM(D25,D26,D30,D31,D35,D36,D39)</f>
        <v>6000</v>
      </c>
      <c r="C41" s="539"/>
      <c r="D41" s="540"/>
      <c r="E41" s="212"/>
      <c r="F41" s="538">
        <f>SUM(H32:H39)</f>
        <v>8090</v>
      </c>
      <c r="G41" s="539"/>
      <c r="H41" s="540"/>
      <c r="I41" s="268"/>
      <c r="J41" s="210"/>
      <c r="K41" s="208"/>
      <c r="L41" s="208"/>
      <c r="M41" s="208"/>
    </row>
    <row r="42" spans="1:13" s="209" customFormat="1" ht="23.1" customHeight="1" thickTop="1" thickBot="1">
      <c r="A42" s="267"/>
      <c r="B42" s="211"/>
      <c r="C42" s="211"/>
      <c r="D42" s="212"/>
      <c r="E42" s="212"/>
      <c r="F42" s="211"/>
      <c r="G42" s="211"/>
      <c r="H42" s="213"/>
      <c r="I42" s="268"/>
      <c r="J42" s="210"/>
      <c r="K42" s="208"/>
      <c r="L42" s="208"/>
      <c r="M42" s="208"/>
    </row>
    <row r="43" spans="1:13" s="209" customFormat="1" ht="39" customHeight="1" thickBot="1">
      <c r="A43" s="564" t="s">
        <v>412</v>
      </c>
      <c r="B43" s="565"/>
      <c r="C43" s="565"/>
      <c r="D43" s="565"/>
      <c r="E43" s="565"/>
      <c r="F43" s="565"/>
      <c r="G43" s="565"/>
      <c r="H43" s="565"/>
      <c r="I43" s="566"/>
      <c r="J43" s="248"/>
      <c r="K43" s="248"/>
      <c r="L43" s="208"/>
      <c r="M43" s="208"/>
    </row>
    <row r="44" spans="1:13" s="209" customFormat="1" ht="23.1" customHeight="1" thickBot="1">
      <c r="A44" s="267"/>
      <c r="B44" s="211"/>
      <c r="C44" s="211"/>
      <c r="D44" s="212"/>
      <c r="E44" s="212"/>
      <c r="F44" s="211"/>
      <c r="G44" s="211"/>
      <c r="H44" s="213"/>
      <c r="I44" s="268"/>
      <c r="J44" s="210"/>
      <c r="K44" s="208"/>
      <c r="L44" s="208"/>
      <c r="M44" s="208"/>
    </row>
    <row r="45" spans="1:13" s="252" customFormat="1" ht="27.95" customHeight="1" thickTop="1">
      <c r="A45" s="270"/>
      <c r="B45" s="555" t="s">
        <v>413</v>
      </c>
      <c r="C45" s="556"/>
      <c r="D45" s="557"/>
      <c r="E45" s="249"/>
      <c r="F45" s="555" t="s">
        <v>414</v>
      </c>
      <c r="G45" s="556"/>
      <c r="H45" s="557"/>
      <c r="I45" s="271"/>
      <c r="J45" s="250"/>
      <c r="K45" s="251"/>
      <c r="L45" s="251"/>
      <c r="M45" s="251"/>
    </row>
    <row r="46" spans="1:13" s="256" customFormat="1" ht="39.950000000000003" customHeight="1" thickBot="1">
      <c r="A46" s="272"/>
      <c r="B46" s="558">
        <f>D49-D50-D51-D52-D53-D54-D55</f>
        <v>133285</v>
      </c>
      <c r="C46" s="559"/>
      <c r="D46" s="560"/>
      <c r="E46" s="253"/>
      <c r="F46" s="561">
        <f>B46/(D50+D51+D52+D53+D54+D55)</f>
        <v>1.9978265757325939</v>
      </c>
      <c r="G46" s="562"/>
      <c r="H46" s="563"/>
      <c r="I46" s="273"/>
      <c r="J46" s="254"/>
      <c r="K46" s="255"/>
      <c r="L46" s="255"/>
      <c r="M46" s="255"/>
    </row>
    <row r="47" spans="1:13" s="209" customFormat="1" ht="23.1" customHeight="1" thickTop="1" thickBot="1">
      <c r="A47" s="267"/>
      <c r="B47" s="214"/>
      <c r="C47" s="211"/>
      <c r="D47" s="212"/>
      <c r="E47" s="212"/>
      <c r="F47" s="211"/>
      <c r="G47" s="211"/>
      <c r="H47" s="213"/>
      <c r="I47" s="268"/>
      <c r="J47" s="210"/>
      <c r="K47" s="208"/>
      <c r="L47" s="208"/>
      <c r="M47" s="208"/>
    </row>
    <row r="48" spans="1:13" s="209" customFormat="1" ht="23.1" customHeight="1" thickBot="1">
      <c r="A48" s="267"/>
      <c r="B48" s="231" t="s">
        <v>415</v>
      </c>
      <c r="C48" s="232"/>
      <c r="D48" s="233"/>
      <c r="E48" s="258"/>
      <c r="F48" s="231" t="s">
        <v>416</v>
      </c>
      <c r="G48" s="232"/>
      <c r="H48" s="233"/>
      <c r="I48" s="241"/>
      <c r="J48" s="210"/>
      <c r="K48" s="208"/>
      <c r="L48" s="208"/>
      <c r="M48" s="208"/>
    </row>
    <row r="49" spans="1:13" s="209" customFormat="1" ht="23.1" customHeight="1" outlineLevel="1">
      <c r="A49" s="267"/>
      <c r="B49" s="574" t="s">
        <v>269</v>
      </c>
      <c r="C49" s="575"/>
      <c r="D49" s="367">
        <f>D13</f>
        <v>200000</v>
      </c>
      <c r="E49" s="259"/>
      <c r="F49" s="580" t="s">
        <v>270</v>
      </c>
      <c r="G49" s="581"/>
      <c r="H49" s="369">
        <f>'Deal Information'!H8:J8+(D17*30)</f>
        <v>41394</v>
      </c>
      <c r="I49" s="241"/>
      <c r="J49" s="210"/>
      <c r="K49" s="208"/>
      <c r="L49" s="208"/>
      <c r="M49" s="208"/>
    </row>
    <row r="50" spans="1:13" s="209" customFormat="1" ht="23.1" customHeight="1" outlineLevel="1">
      <c r="A50" s="267"/>
      <c r="B50" s="576" t="s">
        <v>235</v>
      </c>
      <c r="C50" s="577"/>
      <c r="D50" s="367">
        <f>D16</f>
        <v>50000</v>
      </c>
      <c r="E50" s="259"/>
      <c r="F50" s="544" t="s">
        <v>271</v>
      </c>
      <c r="G50" s="545"/>
      <c r="H50" s="370">
        <f>SUM(D50+D51)/BE2</f>
        <v>41.666666666666664</v>
      </c>
      <c r="I50" s="241"/>
      <c r="J50" s="210"/>
      <c r="K50" s="208"/>
      <c r="L50" s="208"/>
      <c r="M50" s="208"/>
    </row>
    <row r="51" spans="1:13" s="209" customFormat="1" ht="23.1" customHeight="1" outlineLevel="1">
      <c r="A51" s="267"/>
      <c r="B51" s="576" t="s">
        <v>242</v>
      </c>
      <c r="C51" s="577"/>
      <c r="D51" s="367">
        <f>D15</f>
        <v>0</v>
      </c>
      <c r="E51" s="259"/>
      <c r="F51" s="544" t="s">
        <v>272</v>
      </c>
      <c r="G51" s="545"/>
      <c r="H51" s="367">
        <f>D50+H27+D25+D30+D35-D24-D29-D34</f>
        <v>-100000</v>
      </c>
      <c r="I51" s="268"/>
      <c r="J51" s="210"/>
      <c r="K51" s="208"/>
      <c r="L51" s="208"/>
      <c r="M51" s="208"/>
    </row>
    <row r="52" spans="1:13" s="209" customFormat="1" ht="23.1" customHeight="1" outlineLevel="1">
      <c r="A52" s="267"/>
      <c r="B52" s="576" t="s">
        <v>273</v>
      </c>
      <c r="C52" s="577"/>
      <c r="D52" s="367">
        <f>SUM(B41)</f>
        <v>6000</v>
      </c>
      <c r="E52" s="259"/>
      <c r="F52" s="544" t="s">
        <v>274</v>
      </c>
      <c r="G52" s="545"/>
      <c r="H52" s="367">
        <f>D50+D51+D25+D30+D35+D53+D54+H37+H38+H39-D24-D29-D34</f>
        <v>-96875</v>
      </c>
      <c r="I52" s="274"/>
      <c r="J52" s="210"/>
      <c r="K52" s="208"/>
      <c r="L52" s="208"/>
      <c r="M52" s="208"/>
    </row>
    <row r="53" spans="1:13" s="209" customFormat="1" ht="23.1" customHeight="1" outlineLevel="1">
      <c r="A53" s="267"/>
      <c r="B53" s="576" t="s">
        <v>275</v>
      </c>
      <c r="C53" s="577"/>
      <c r="D53" s="367">
        <f>SUM(D17*F19)</f>
        <v>1500</v>
      </c>
      <c r="E53" s="259"/>
      <c r="F53" s="544" t="s">
        <v>276</v>
      </c>
      <c r="G53" s="545"/>
      <c r="H53" s="371">
        <f>B46/H52*12/D17</f>
        <v>-4.1275354838709681</v>
      </c>
      <c r="I53" s="268"/>
      <c r="J53" s="210"/>
      <c r="K53" s="208"/>
      <c r="L53" s="208"/>
      <c r="M53" s="208"/>
    </row>
    <row r="54" spans="1:13" s="209" customFormat="1" ht="23.1" customHeight="1" outlineLevel="1">
      <c r="A54" s="267"/>
      <c r="B54" s="576" t="s">
        <v>277</v>
      </c>
      <c r="C54" s="577"/>
      <c r="D54" s="367">
        <f>SUM(F28)</f>
        <v>1125</v>
      </c>
      <c r="E54" s="259"/>
      <c r="F54" s="544" t="s">
        <v>278</v>
      </c>
      <c r="G54" s="545"/>
      <c r="H54" s="371">
        <f>F46*(12/D17)</f>
        <v>5.9934797271977818</v>
      </c>
      <c r="I54" s="268"/>
      <c r="J54" s="210"/>
      <c r="K54" s="208"/>
      <c r="L54" s="208"/>
      <c r="M54" s="208"/>
    </row>
    <row r="55" spans="1:13" s="209" customFormat="1" ht="23.1" customHeight="1" outlineLevel="1" thickBot="1">
      <c r="A55" s="267"/>
      <c r="B55" s="578" t="s">
        <v>279</v>
      </c>
      <c r="C55" s="579"/>
      <c r="D55" s="368">
        <f>SUM(F41)</f>
        <v>8090</v>
      </c>
      <c r="E55" s="259"/>
      <c r="F55" s="546" t="s">
        <v>280</v>
      </c>
      <c r="G55" s="547"/>
      <c r="H55" s="372">
        <f>B46/(D50+D51)</f>
        <v>2.6657000000000002</v>
      </c>
      <c r="I55" s="268"/>
      <c r="J55" s="210"/>
      <c r="K55" s="208"/>
      <c r="L55" s="208"/>
      <c r="M55" s="208"/>
    </row>
    <row r="56" spans="1:13" s="209" customFormat="1" ht="23.1" customHeight="1" thickBot="1">
      <c r="A56" s="275"/>
      <c r="B56" s="260"/>
      <c r="C56" s="260"/>
      <c r="D56" s="260"/>
      <c r="E56" s="260"/>
      <c r="F56" s="573"/>
      <c r="G56" s="573"/>
      <c r="H56" s="573"/>
      <c r="I56" s="276"/>
      <c r="J56" s="210"/>
      <c r="K56" s="208"/>
      <c r="L56" s="208"/>
      <c r="M56" s="208"/>
    </row>
    <row r="57" spans="1:13" ht="27.95" customHeight="1">
      <c r="D57" s="54"/>
      <c r="E57" s="215"/>
      <c r="F57" s="53"/>
      <c r="G57" s="53"/>
      <c r="H57" s="55"/>
      <c r="I57" s="56"/>
      <c r="J57" s="104"/>
      <c r="K57" s="109"/>
    </row>
    <row r="58" spans="1:13" ht="27.95" customHeight="1">
      <c r="F58" s="57"/>
      <c r="G58" s="57"/>
      <c r="H58" s="58"/>
      <c r="I58" s="56"/>
      <c r="J58" s="104"/>
      <c r="K58" s="109"/>
    </row>
    <row r="59" spans="1:13" ht="27.95" customHeight="1">
      <c r="B59" s="59"/>
      <c r="C59" s="59"/>
      <c r="D59" s="60"/>
      <c r="E59" s="217"/>
      <c r="F59" s="61"/>
      <c r="G59" s="61"/>
      <c r="I59" s="56"/>
      <c r="J59" s="104"/>
      <c r="K59" s="109"/>
    </row>
    <row r="60" spans="1:13" ht="27.95" customHeight="1">
      <c r="H60" s="58"/>
      <c r="I60" s="56"/>
      <c r="J60" s="104"/>
      <c r="K60" s="109"/>
    </row>
    <row r="61" spans="1:13" ht="27.95" customHeight="1">
      <c r="J61" s="104"/>
      <c r="K61" s="109"/>
    </row>
    <row r="62" spans="1:13" ht="27.95" customHeight="1">
      <c r="G62" s="63"/>
      <c r="I62" s="56"/>
      <c r="J62" s="104"/>
      <c r="K62" s="109"/>
    </row>
    <row r="63" spans="1:13" ht="27.95" customHeight="1">
      <c r="G63" s="63"/>
      <c r="I63" s="56"/>
    </row>
    <row r="64" spans="1:13" ht="27.95" customHeight="1">
      <c r="G64" s="63"/>
      <c r="I64" s="56"/>
    </row>
    <row r="65" spans="9:10" ht="27.95" customHeight="1">
      <c r="I65" s="56"/>
    </row>
    <row r="66" spans="9:10">
      <c r="I66" s="56"/>
    </row>
    <row r="67" spans="9:10">
      <c r="I67" s="56"/>
    </row>
    <row r="68" spans="9:10">
      <c r="I68" s="56"/>
    </row>
    <row r="69" spans="9:10">
      <c r="I69" s="56"/>
    </row>
    <row r="70" spans="9:10">
      <c r="I70" s="56"/>
    </row>
    <row r="71" spans="9:10">
      <c r="I71" s="56"/>
    </row>
    <row r="72" spans="9:10">
      <c r="I72" s="56"/>
    </row>
    <row r="73" spans="9:10">
      <c r="I73" s="56"/>
    </row>
    <row r="74" spans="9:10">
      <c r="I74" s="56"/>
    </row>
    <row r="75" spans="9:10">
      <c r="I75" s="56"/>
      <c r="J75" s="246"/>
    </row>
    <row r="76" spans="9:10">
      <c r="I76" s="56"/>
    </row>
    <row r="77" spans="9:10">
      <c r="I77" s="56"/>
    </row>
    <row r="78" spans="9:10">
      <c r="I78" s="56"/>
    </row>
    <row r="93" spans="2:13" s="51" customFormat="1">
      <c r="B93" s="52"/>
      <c r="C93" s="52"/>
      <c r="D93" s="52"/>
      <c r="E93" s="216"/>
      <c r="F93" s="62"/>
      <c r="G93" s="62"/>
      <c r="H93" s="52"/>
      <c r="J93" s="245"/>
      <c r="K93" s="245"/>
      <c r="L93" s="247"/>
      <c r="M93" s="247"/>
    </row>
    <row r="95" spans="2:13" s="51" customFormat="1">
      <c r="B95" s="52"/>
      <c r="C95" s="52"/>
      <c r="D95" s="52"/>
      <c r="E95" s="216"/>
      <c r="F95" s="62"/>
      <c r="G95" s="62"/>
      <c r="H95" s="52"/>
      <c r="J95" s="245"/>
      <c r="K95" s="245"/>
      <c r="L95" s="247"/>
      <c r="M95" s="247"/>
    </row>
    <row r="96" spans="2:13" s="51" customFormat="1">
      <c r="B96" s="52"/>
      <c r="C96" s="52"/>
      <c r="D96" s="52"/>
      <c r="E96" s="216"/>
      <c r="F96" s="62"/>
      <c r="G96" s="62"/>
      <c r="H96" s="52"/>
      <c r="J96" s="245"/>
      <c r="K96" s="245"/>
      <c r="L96" s="247"/>
      <c r="M96" s="247"/>
    </row>
    <row r="97" spans="2:13" s="51" customFormat="1">
      <c r="B97" s="52"/>
      <c r="C97" s="52"/>
      <c r="D97" s="52"/>
      <c r="E97" s="216"/>
      <c r="F97" s="62"/>
      <c r="G97" s="62"/>
      <c r="H97" s="52"/>
      <c r="J97" s="245"/>
      <c r="K97" s="245"/>
      <c r="L97" s="247"/>
      <c r="M97" s="247"/>
    </row>
    <row r="98" spans="2:13" s="51" customFormat="1">
      <c r="B98" s="52"/>
      <c r="C98" s="52"/>
      <c r="D98" s="52"/>
      <c r="E98" s="216"/>
      <c r="F98" s="62"/>
      <c r="G98" s="62"/>
      <c r="H98" s="52"/>
      <c r="J98" s="245"/>
      <c r="K98" s="245"/>
      <c r="L98" s="247"/>
      <c r="M98" s="247"/>
    </row>
    <row r="99" spans="2:13" s="51" customFormat="1">
      <c r="B99" s="52"/>
      <c r="C99" s="52"/>
      <c r="D99" s="52"/>
      <c r="E99" s="216"/>
      <c r="F99" s="62"/>
      <c r="G99" s="62"/>
      <c r="H99" s="52"/>
      <c r="J99" s="245"/>
      <c r="K99" s="245"/>
      <c r="L99" s="247"/>
      <c r="M99" s="247"/>
    </row>
    <row r="101" spans="2:13" s="51" customFormat="1">
      <c r="B101" s="52"/>
      <c r="C101" s="52"/>
      <c r="D101" s="52"/>
      <c r="E101" s="216"/>
      <c r="F101" s="62"/>
      <c r="G101" s="62"/>
      <c r="H101" s="52"/>
      <c r="J101" s="245"/>
      <c r="K101" s="245"/>
      <c r="L101" s="247"/>
      <c r="M101" s="247"/>
    </row>
    <row r="102" spans="2:13" s="51" customFormat="1">
      <c r="B102" s="52"/>
      <c r="C102" s="52"/>
      <c r="D102" s="52"/>
      <c r="E102" s="216"/>
      <c r="F102" s="62"/>
      <c r="G102" s="62"/>
      <c r="H102" s="52"/>
      <c r="J102" s="245"/>
      <c r="K102" s="245"/>
      <c r="L102" s="247"/>
      <c r="M102" s="247"/>
    </row>
    <row r="103" spans="2:13" s="51" customFormat="1">
      <c r="B103" s="52"/>
      <c r="C103" s="52"/>
      <c r="D103" s="52"/>
      <c r="E103" s="216"/>
      <c r="F103" s="62"/>
      <c r="G103" s="62"/>
      <c r="H103" s="52"/>
      <c r="J103" s="245"/>
      <c r="K103" s="245"/>
      <c r="L103" s="247"/>
      <c r="M103" s="247"/>
    </row>
    <row r="104" spans="2:13" s="51" customFormat="1">
      <c r="B104" s="52"/>
      <c r="C104" s="52"/>
      <c r="D104" s="52"/>
      <c r="E104" s="216"/>
      <c r="F104" s="62"/>
      <c r="G104" s="62"/>
      <c r="H104" s="52"/>
      <c r="J104" s="245"/>
      <c r="K104" s="245"/>
      <c r="L104" s="247"/>
      <c r="M104" s="247"/>
    </row>
    <row r="105" spans="2:13" s="51" customFormat="1">
      <c r="B105" s="52"/>
      <c r="C105" s="52"/>
      <c r="D105" s="52"/>
      <c r="E105" s="216"/>
      <c r="F105" s="62"/>
      <c r="G105" s="62"/>
      <c r="H105" s="52"/>
      <c r="J105" s="245"/>
      <c r="K105" s="245"/>
      <c r="L105" s="247"/>
      <c r="M105" s="247"/>
    </row>
    <row r="106" spans="2:13" s="51" customFormat="1">
      <c r="B106" s="52"/>
      <c r="C106" s="52"/>
      <c r="D106" s="52"/>
      <c r="E106" s="216"/>
      <c r="F106" s="62"/>
      <c r="G106" s="62"/>
      <c r="H106" s="52"/>
      <c r="J106" s="245"/>
      <c r="K106" s="245"/>
      <c r="L106" s="247"/>
      <c r="M106" s="247"/>
    </row>
    <row r="107" spans="2:13" s="51" customFormat="1">
      <c r="B107" s="52"/>
      <c r="C107" s="52"/>
      <c r="D107" s="52"/>
      <c r="E107" s="216"/>
      <c r="F107" s="62"/>
      <c r="G107" s="62"/>
      <c r="H107" s="52"/>
      <c r="J107" s="245"/>
      <c r="K107" s="245"/>
      <c r="L107" s="247"/>
      <c r="M107" s="247"/>
    </row>
    <row r="108" spans="2:13" s="51" customFormat="1">
      <c r="B108" s="52"/>
      <c r="C108" s="52"/>
      <c r="D108" s="52"/>
      <c r="E108" s="216"/>
      <c r="F108" s="62"/>
      <c r="G108" s="62"/>
      <c r="H108" s="52"/>
      <c r="J108" s="245"/>
      <c r="K108" s="245"/>
      <c r="L108" s="247"/>
      <c r="M108" s="247"/>
    </row>
    <row r="109" spans="2:13" s="51" customFormat="1">
      <c r="B109" s="52"/>
      <c r="C109" s="52"/>
      <c r="D109" s="52"/>
      <c r="E109" s="216"/>
      <c r="F109" s="62"/>
      <c r="G109" s="62"/>
      <c r="H109" s="52"/>
      <c r="J109" s="245"/>
      <c r="K109" s="245"/>
      <c r="L109" s="247"/>
      <c r="M109" s="247"/>
    </row>
    <row r="110" spans="2:13" s="51" customFormat="1">
      <c r="B110" s="52"/>
      <c r="C110" s="52"/>
      <c r="D110" s="52"/>
      <c r="E110" s="216"/>
      <c r="F110" s="62"/>
      <c r="G110" s="62"/>
      <c r="H110" s="52"/>
      <c r="J110" s="245"/>
      <c r="K110" s="245"/>
      <c r="L110" s="247"/>
      <c r="M110" s="247"/>
    </row>
    <row r="113" spans="2:13" s="51" customFormat="1">
      <c r="B113" s="52"/>
      <c r="C113" s="52"/>
      <c r="D113" s="52"/>
      <c r="E113" s="216"/>
      <c r="F113" s="62"/>
      <c r="G113" s="62"/>
      <c r="H113" s="52"/>
      <c r="J113" s="245"/>
      <c r="K113" s="245"/>
      <c r="L113" s="247"/>
      <c r="M113" s="247"/>
    </row>
    <row r="114" spans="2:13" s="51" customFormat="1">
      <c r="B114" s="52"/>
      <c r="C114" s="52"/>
      <c r="D114" s="52"/>
      <c r="E114" s="216"/>
      <c r="F114" s="62"/>
      <c r="G114" s="62"/>
      <c r="H114" s="52"/>
      <c r="J114" s="245"/>
      <c r="K114" s="245"/>
      <c r="L114" s="247"/>
      <c r="M114" s="247"/>
    </row>
  </sheetData>
  <mergeCells count="41">
    <mergeCell ref="C7:D7"/>
    <mergeCell ref="C8:D8"/>
    <mergeCell ref="C9:D10"/>
    <mergeCell ref="C6:D6"/>
    <mergeCell ref="F56:H56"/>
    <mergeCell ref="B49:C49"/>
    <mergeCell ref="B50:C50"/>
    <mergeCell ref="B51:C51"/>
    <mergeCell ref="B52:C52"/>
    <mergeCell ref="B53:C53"/>
    <mergeCell ref="B54:C54"/>
    <mergeCell ref="B55:C55"/>
    <mergeCell ref="F49:G49"/>
    <mergeCell ref="F50:G50"/>
    <mergeCell ref="F51:G51"/>
    <mergeCell ref="F52:G52"/>
    <mergeCell ref="F53:G53"/>
    <mergeCell ref="F54:G54"/>
    <mergeCell ref="F55:G55"/>
    <mergeCell ref="B21:D21"/>
    <mergeCell ref="B41:D41"/>
    <mergeCell ref="B40:D40"/>
    <mergeCell ref="F41:H41"/>
    <mergeCell ref="F40:H40"/>
    <mergeCell ref="F27:H27"/>
    <mergeCell ref="F28:H29"/>
    <mergeCell ref="B45:D45"/>
    <mergeCell ref="F45:H45"/>
    <mergeCell ref="B46:D46"/>
    <mergeCell ref="F46:H46"/>
    <mergeCell ref="A43:I43"/>
    <mergeCell ref="B17:C17"/>
    <mergeCell ref="B19:D19"/>
    <mergeCell ref="B18:D18"/>
    <mergeCell ref="F19:H19"/>
    <mergeCell ref="F18:H18"/>
    <mergeCell ref="B12:D12"/>
    <mergeCell ref="B13:C13"/>
    <mergeCell ref="B14:C14"/>
    <mergeCell ref="B15:C15"/>
    <mergeCell ref="B16:C16"/>
  </mergeCells>
  <phoneticPr fontId="4" type="noConversion"/>
  <dataValidations count="1">
    <dataValidation type="list" showInputMessage="1" showErrorMessage="1" sqref="E23 F21">
      <formula1>$BD$2:$BD$4</formula1>
    </dataValidation>
  </dataValidations>
  <pageMargins left="0.62" right="0.35" top="0.42" bottom="0.56000000000000005" header="0.18" footer="0.16"/>
  <pageSetup scale="72" orientation="landscape" r:id="rId1"/>
  <headerFooter>
    <oddHeader>&amp;C&amp;"Arial,Bold"&amp;12Flip with Mortgage/Private Money Financing</oddHeader>
    <oddFooter>&amp;C&amp;"Arial,Bold"Printed &amp;D&amp;R&amp;"Arial,Bold"Page &amp;P of &amp;N</oddFooter>
  </headerFooter>
  <rowBreaks count="2" manualBreakCount="2">
    <brk id="56" min="1" max="4" man="1"/>
    <brk id="58" min="1" max="4"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288"/>
  <sheetViews>
    <sheetView showGridLines="0" showZeros="0" topLeftCell="A217" zoomScale="110" zoomScaleNormal="110" zoomScalePageLayoutView="110" workbookViewId="0">
      <selection activeCell="L228" sqref="L228"/>
    </sheetView>
  </sheetViews>
  <sheetFormatPr defaultColWidth="10.875" defaultRowHeight="15.75"/>
  <cols>
    <col min="1" max="1" width="8.375" style="49" customWidth="1"/>
    <col min="2" max="2" width="8.375" style="3" customWidth="1"/>
    <col min="3" max="3" width="5" style="3" customWidth="1"/>
    <col min="4" max="4" width="7.625" style="3" customWidth="1"/>
    <col min="5" max="5" width="13" style="3" customWidth="1"/>
    <col min="6" max="6" width="7.625" style="3" customWidth="1"/>
    <col min="7" max="7" width="13" style="3" customWidth="1"/>
    <col min="8" max="8" width="3.875" style="3" customWidth="1"/>
    <col min="9" max="9" width="5" style="316" customWidth="1"/>
    <col min="10" max="10" width="5" style="3" customWidth="1"/>
    <col min="11" max="12" width="9.875" style="3" customWidth="1"/>
    <col min="13" max="13" width="3.375" style="3" customWidth="1"/>
    <col min="14" max="19" width="11.125" style="80" customWidth="1"/>
    <col min="20" max="22" width="10.875" style="80"/>
    <col min="23" max="16384" width="10.875" style="21"/>
  </cols>
  <sheetData>
    <row r="1" spans="1:23" ht="69" customHeight="1">
      <c r="A1" s="1" t="s">
        <v>211</v>
      </c>
      <c r="B1" s="1"/>
      <c r="C1" s="2"/>
      <c r="D1" s="2"/>
      <c r="E1" s="2"/>
      <c r="F1" s="2"/>
      <c r="G1" s="2"/>
      <c r="H1" s="2"/>
      <c r="I1" s="322"/>
      <c r="J1" s="2"/>
      <c r="K1" s="2"/>
      <c r="L1" s="2"/>
    </row>
    <row r="2" spans="1:23" ht="24" customHeight="1">
      <c r="A2" s="81" t="s">
        <v>281</v>
      </c>
      <c r="B2" s="582" t="str">
        <f>'Deal Information'!$C$8</f>
        <v>123 Main Street</v>
      </c>
      <c r="C2" s="582"/>
      <c r="D2" s="582"/>
      <c r="E2" s="582"/>
      <c r="F2" s="582"/>
      <c r="G2" s="81" t="s">
        <v>314</v>
      </c>
      <c r="H2" s="583" t="str">
        <f>'Deal Information'!$H$9</f>
        <v>N</v>
      </c>
      <c r="I2" s="583"/>
      <c r="J2" s="583"/>
      <c r="K2" s="81" t="s">
        <v>234</v>
      </c>
      <c r="L2" s="64"/>
      <c r="N2" s="82" t="s">
        <v>431</v>
      </c>
      <c r="O2" s="83"/>
      <c r="P2" s="83"/>
      <c r="Q2" s="83"/>
      <c r="R2" s="83"/>
      <c r="S2" s="83"/>
      <c r="T2" s="83"/>
      <c r="U2" s="83"/>
      <c r="W2" s="339"/>
    </row>
    <row r="3" spans="1:23" ht="24" customHeight="1">
      <c r="A3" s="81" t="s">
        <v>282</v>
      </c>
      <c r="B3" s="584">
        <f>SUM('Deal Information'!C9:E9)</f>
        <v>3</v>
      </c>
      <c r="C3" s="584"/>
      <c r="D3" s="81" t="s">
        <v>316</v>
      </c>
      <c r="E3" s="400">
        <f>SUM('Deal Information'!C10:E10)</f>
        <v>2</v>
      </c>
      <c r="F3" s="81" t="s">
        <v>302</v>
      </c>
      <c r="G3" s="79">
        <f>SUM('Deal Information'!C11:E11)</f>
        <v>1200</v>
      </c>
      <c r="H3" s="99"/>
      <c r="I3" s="323"/>
      <c r="J3" s="81" t="s">
        <v>315</v>
      </c>
      <c r="K3" s="585"/>
      <c r="L3" s="585"/>
      <c r="W3" s="341"/>
    </row>
    <row r="4" spans="1:23" ht="24.95" customHeight="1">
      <c r="A4" s="586" t="s">
        <v>212</v>
      </c>
      <c r="B4" s="586"/>
      <c r="C4" s="586"/>
      <c r="D4" s="586"/>
      <c r="E4" s="586"/>
      <c r="F4" s="586"/>
      <c r="G4" s="586"/>
      <c r="H4" s="586"/>
      <c r="I4" s="586"/>
      <c r="J4" s="586"/>
      <c r="K4" s="586"/>
      <c r="L4" s="586"/>
      <c r="M4" s="21"/>
      <c r="W4" s="340"/>
    </row>
    <row r="5" spans="1:23" s="10" customFormat="1" ht="20.100000000000001" customHeight="1">
      <c r="A5" s="92"/>
      <c r="B5" s="93"/>
      <c r="C5" s="94"/>
      <c r="D5" s="93"/>
      <c r="E5" s="94"/>
      <c r="F5" s="94"/>
      <c r="G5" s="93"/>
      <c r="H5" s="94"/>
      <c r="I5" s="324"/>
      <c r="J5" s="93"/>
      <c r="K5" s="93"/>
      <c r="L5" s="95"/>
      <c r="N5" s="84"/>
      <c r="O5" s="84"/>
      <c r="P5" s="84"/>
      <c r="Q5" s="84"/>
      <c r="R5" s="84"/>
      <c r="S5" s="84"/>
      <c r="T5" s="84"/>
      <c r="U5" s="84"/>
      <c r="V5" s="84"/>
    </row>
    <row r="6" spans="1:23" s="85" customFormat="1" ht="20.100000000000001" customHeight="1">
      <c r="A6" s="96"/>
      <c r="B6" s="97"/>
      <c r="C6" s="97"/>
      <c r="D6" s="97"/>
      <c r="E6" s="97"/>
      <c r="F6" s="97"/>
      <c r="G6" s="97"/>
      <c r="H6" s="97"/>
      <c r="I6" s="325"/>
      <c r="J6" s="97"/>
      <c r="K6" s="97"/>
      <c r="L6" s="98"/>
      <c r="N6" s="86"/>
      <c r="O6" s="86"/>
      <c r="P6" s="86"/>
      <c r="Q6" s="86"/>
      <c r="R6" s="86"/>
      <c r="S6" s="86"/>
      <c r="T6" s="86"/>
      <c r="U6" s="86"/>
      <c r="V6" s="86"/>
      <c r="W6" s="10"/>
    </row>
    <row r="7" spans="1:23" s="22" customFormat="1" ht="29.1" customHeight="1" thickBot="1">
      <c r="A7" s="587" t="s">
        <v>26</v>
      </c>
      <c r="B7" s="587"/>
      <c r="C7" s="587"/>
      <c r="D7" s="587"/>
      <c r="E7" s="587"/>
      <c r="F7" s="587"/>
      <c r="G7" s="587"/>
      <c r="H7" s="587"/>
      <c r="I7" s="587"/>
      <c r="J7" s="587"/>
      <c r="K7" s="587"/>
      <c r="L7" s="587"/>
      <c r="M7" s="16"/>
      <c r="N7" s="25"/>
      <c r="O7" s="25"/>
      <c r="P7" s="25"/>
      <c r="Q7" s="25"/>
      <c r="R7" s="25"/>
      <c r="S7" s="25"/>
      <c r="T7" s="25"/>
      <c r="U7" s="25"/>
      <c r="V7" s="25"/>
    </row>
    <row r="8" spans="1:23" s="22" customFormat="1" ht="14.1" customHeight="1" thickBot="1">
      <c r="A8" s="591" t="s">
        <v>158</v>
      </c>
      <c r="B8" s="592"/>
      <c r="C8" s="298" t="s">
        <v>27</v>
      </c>
      <c r="D8" s="592" t="s">
        <v>159</v>
      </c>
      <c r="E8" s="592"/>
      <c r="F8" s="592"/>
      <c r="G8" s="592"/>
      <c r="H8" s="592"/>
      <c r="I8" s="298" t="s">
        <v>28</v>
      </c>
      <c r="J8" s="298" t="s">
        <v>161</v>
      </c>
      <c r="K8" s="298" t="s">
        <v>15</v>
      </c>
      <c r="L8" s="299" t="s">
        <v>160</v>
      </c>
      <c r="M8" s="16"/>
      <c r="N8" s="25"/>
      <c r="O8" s="25"/>
      <c r="P8" s="25"/>
      <c r="Q8" s="25"/>
      <c r="R8" s="25"/>
      <c r="S8" s="25"/>
      <c r="T8" s="25"/>
      <c r="U8" s="25"/>
      <c r="V8" s="25"/>
    </row>
    <row r="9" spans="1:23" s="22" customFormat="1" ht="14.1" customHeight="1">
      <c r="A9" s="114" t="s">
        <v>213</v>
      </c>
      <c r="B9" s="115"/>
      <c r="C9" s="295"/>
      <c r="D9" s="593" t="s">
        <v>341</v>
      </c>
      <c r="E9" s="594"/>
      <c r="F9" s="594"/>
      <c r="G9" s="594"/>
      <c r="H9" s="595"/>
      <c r="I9" s="296"/>
      <c r="J9" s="296" t="s">
        <v>430</v>
      </c>
      <c r="K9" s="297">
        <v>4</v>
      </c>
      <c r="L9" s="300">
        <f>SUM(I9*K9)</f>
        <v>0</v>
      </c>
      <c r="M9" s="16"/>
      <c r="N9" s="25"/>
      <c r="O9" s="25"/>
      <c r="P9" s="25"/>
      <c r="Q9" s="25"/>
      <c r="R9" s="25"/>
      <c r="S9" s="25"/>
      <c r="T9" s="25"/>
      <c r="U9" s="25"/>
      <c r="V9" s="25"/>
    </row>
    <row r="10" spans="1:23" s="22" customFormat="1" ht="14.1" customHeight="1">
      <c r="A10" s="596" t="s">
        <v>336</v>
      </c>
      <c r="B10" s="597"/>
      <c r="C10" s="23"/>
      <c r="D10" s="588" t="s">
        <v>342</v>
      </c>
      <c r="E10" s="589"/>
      <c r="F10" s="589"/>
      <c r="G10" s="589"/>
      <c r="H10" s="590"/>
      <c r="I10" s="15"/>
      <c r="J10" s="15" t="s">
        <v>430</v>
      </c>
      <c r="K10" s="24">
        <v>2.5</v>
      </c>
      <c r="L10" s="301">
        <f t="shared" ref="L10:L42" si="0">SUM(I10*K10)</f>
        <v>0</v>
      </c>
      <c r="M10" s="26"/>
      <c r="N10" s="26"/>
      <c r="O10" s="26"/>
      <c r="P10" s="26"/>
      <c r="Q10" s="26"/>
      <c r="R10" s="26"/>
      <c r="S10" s="27"/>
      <c r="T10" s="25"/>
      <c r="U10" s="25"/>
      <c r="V10" s="25"/>
    </row>
    <row r="11" spans="1:23" s="22" customFormat="1" ht="14.1" customHeight="1">
      <c r="A11" s="596"/>
      <c r="B11" s="597"/>
      <c r="C11" s="23"/>
      <c r="D11" s="588" t="s">
        <v>163</v>
      </c>
      <c r="E11" s="589"/>
      <c r="F11" s="589"/>
      <c r="G11" s="589"/>
      <c r="H11" s="590"/>
      <c r="I11" s="15"/>
      <c r="J11" s="15" t="s">
        <v>430</v>
      </c>
      <c r="K11" s="24">
        <v>2</v>
      </c>
      <c r="L11" s="301">
        <f t="shared" si="0"/>
        <v>0</v>
      </c>
      <c r="M11" s="26"/>
      <c r="N11" s="26"/>
      <c r="O11" s="26"/>
      <c r="P11" s="26"/>
      <c r="Q11" s="26"/>
      <c r="R11" s="26"/>
      <c r="S11" s="27"/>
      <c r="T11" s="25"/>
      <c r="U11" s="25"/>
      <c r="V11" s="25"/>
    </row>
    <row r="12" spans="1:23" s="22" customFormat="1" ht="14.1" customHeight="1">
      <c r="A12" s="76"/>
      <c r="B12" s="77"/>
      <c r="C12" s="23"/>
      <c r="D12" s="588" t="s">
        <v>164</v>
      </c>
      <c r="E12" s="589"/>
      <c r="F12" s="589"/>
      <c r="G12" s="589"/>
      <c r="H12" s="590"/>
      <c r="I12" s="15"/>
      <c r="J12" s="15" t="s">
        <v>165</v>
      </c>
      <c r="K12" s="24">
        <v>900</v>
      </c>
      <c r="L12" s="301">
        <f t="shared" si="0"/>
        <v>0</v>
      </c>
      <c r="M12" s="16"/>
      <c r="N12" s="25"/>
      <c r="O12" s="25"/>
      <c r="P12" s="25"/>
      <c r="Q12" s="25"/>
      <c r="R12" s="25"/>
      <c r="S12" s="25"/>
      <c r="T12" s="25"/>
      <c r="U12" s="25"/>
      <c r="V12" s="25"/>
    </row>
    <row r="13" spans="1:23" s="22" customFormat="1" ht="14.1" customHeight="1">
      <c r="A13" s="70"/>
      <c r="B13" s="71"/>
      <c r="C13" s="23"/>
      <c r="D13" s="588" t="s">
        <v>166</v>
      </c>
      <c r="E13" s="589"/>
      <c r="F13" s="589"/>
      <c r="G13" s="589"/>
      <c r="H13" s="590"/>
      <c r="I13" s="15"/>
      <c r="J13" s="15" t="s">
        <v>165</v>
      </c>
      <c r="K13" s="24">
        <v>600</v>
      </c>
      <c r="L13" s="301">
        <f t="shared" si="0"/>
        <v>0</v>
      </c>
      <c r="M13" s="16"/>
      <c r="N13" s="25"/>
      <c r="O13" s="25"/>
      <c r="P13" s="25"/>
      <c r="Q13" s="25"/>
      <c r="R13" s="25"/>
      <c r="S13" s="25"/>
      <c r="T13" s="25"/>
      <c r="U13" s="25"/>
      <c r="V13" s="25"/>
    </row>
    <row r="14" spans="1:23" s="22" customFormat="1" ht="14.1" customHeight="1">
      <c r="A14" s="70"/>
      <c r="B14" s="71"/>
      <c r="C14" s="23"/>
      <c r="D14" s="588" t="s">
        <v>167</v>
      </c>
      <c r="E14" s="589"/>
      <c r="F14" s="589"/>
      <c r="G14" s="589"/>
      <c r="H14" s="590"/>
      <c r="I14" s="15"/>
      <c r="J14" s="15" t="s">
        <v>430</v>
      </c>
      <c r="K14" s="24">
        <v>0.35</v>
      </c>
      <c r="L14" s="301">
        <f t="shared" si="0"/>
        <v>0</v>
      </c>
      <c r="M14" s="16"/>
      <c r="N14" s="25"/>
      <c r="O14" s="25"/>
      <c r="P14" s="25"/>
      <c r="Q14" s="25"/>
      <c r="R14" s="25"/>
      <c r="S14" s="25"/>
      <c r="T14" s="25"/>
      <c r="U14" s="25"/>
      <c r="V14" s="25"/>
    </row>
    <row r="15" spans="1:23" s="22" customFormat="1" ht="14.1" customHeight="1">
      <c r="A15" s="70"/>
      <c r="B15" s="71"/>
      <c r="C15" s="23"/>
      <c r="D15" s="588" t="s">
        <v>168</v>
      </c>
      <c r="E15" s="589"/>
      <c r="F15" s="589"/>
      <c r="G15" s="589"/>
      <c r="H15" s="590"/>
      <c r="I15" s="15"/>
      <c r="J15" s="15" t="s">
        <v>430</v>
      </c>
      <c r="K15" s="24">
        <v>0.2</v>
      </c>
      <c r="L15" s="301">
        <f t="shared" si="0"/>
        <v>0</v>
      </c>
      <c r="M15" s="16"/>
      <c r="N15" s="25"/>
      <c r="O15" s="25"/>
      <c r="P15" s="25"/>
      <c r="Q15" s="25"/>
      <c r="R15" s="25"/>
      <c r="S15" s="25"/>
      <c r="T15" s="25"/>
      <c r="U15" s="25"/>
      <c r="V15" s="25"/>
    </row>
    <row r="16" spans="1:23" s="22" customFormat="1" ht="14.1" customHeight="1">
      <c r="A16" s="70"/>
      <c r="B16" s="71"/>
      <c r="C16" s="23"/>
      <c r="D16" s="588" t="s">
        <v>169</v>
      </c>
      <c r="E16" s="589"/>
      <c r="F16" s="589"/>
      <c r="G16" s="589"/>
      <c r="H16" s="590"/>
      <c r="I16" s="15"/>
      <c r="J16" s="15" t="s">
        <v>170</v>
      </c>
      <c r="K16" s="24">
        <v>3</v>
      </c>
      <c r="L16" s="301">
        <f t="shared" si="0"/>
        <v>0</v>
      </c>
      <c r="M16" s="16"/>
      <c r="N16" s="25"/>
      <c r="O16" s="25"/>
      <c r="P16" s="25"/>
      <c r="Q16" s="25"/>
      <c r="R16" s="25"/>
      <c r="S16" s="25"/>
      <c r="T16" s="25"/>
      <c r="U16" s="25"/>
      <c r="V16" s="25"/>
    </row>
    <row r="17" spans="1:28" s="22" customFormat="1" ht="14.1" customHeight="1">
      <c r="A17" s="72"/>
      <c r="B17" s="73"/>
      <c r="C17" s="23"/>
      <c r="D17" s="588" t="s">
        <v>171</v>
      </c>
      <c r="E17" s="589"/>
      <c r="F17" s="589"/>
      <c r="G17" s="589"/>
      <c r="H17" s="590"/>
      <c r="I17" s="15"/>
      <c r="J17" s="15" t="s">
        <v>170</v>
      </c>
      <c r="K17" s="24">
        <v>4</v>
      </c>
      <c r="L17" s="301">
        <f t="shared" si="0"/>
        <v>0</v>
      </c>
      <c r="M17" s="16"/>
      <c r="N17" s="25"/>
      <c r="O17" s="25"/>
      <c r="P17" s="25"/>
      <c r="Q17" s="25"/>
      <c r="R17" s="25"/>
      <c r="S17" s="25"/>
      <c r="T17" s="25"/>
      <c r="U17" s="25"/>
      <c r="V17" s="25"/>
    </row>
    <row r="18" spans="1:28" s="22" customFormat="1" ht="14.1" customHeight="1">
      <c r="A18" s="74" t="s">
        <v>29</v>
      </c>
      <c r="B18" s="75"/>
      <c r="C18" s="23"/>
      <c r="D18" s="588" t="s">
        <v>172</v>
      </c>
      <c r="E18" s="589"/>
      <c r="F18" s="589"/>
      <c r="G18" s="589"/>
      <c r="H18" s="590"/>
      <c r="I18" s="326"/>
      <c r="J18" s="15" t="s">
        <v>430</v>
      </c>
      <c r="K18" s="24">
        <v>0.5</v>
      </c>
      <c r="L18" s="301">
        <f t="shared" si="0"/>
        <v>0</v>
      </c>
      <c r="M18" s="16"/>
      <c r="N18" s="25"/>
      <c r="O18" s="25"/>
      <c r="P18" s="25"/>
      <c r="Q18" s="25"/>
      <c r="R18" s="25"/>
      <c r="S18" s="25"/>
      <c r="T18" s="25"/>
      <c r="U18" s="25"/>
      <c r="V18" s="25"/>
    </row>
    <row r="19" spans="1:28" s="22" customFormat="1" ht="14.1" customHeight="1">
      <c r="A19" s="72"/>
      <c r="B19" s="73"/>
      <c r="C19" s="23"/>
      <c r="D19" s="588" t="s">
        <v>173</v>
      </c>
      <c r="E19" s="589"/>
      <c r="F19" s="589"/>
      <c r="G19" s="589"/>
      <c r="H19" s="590"/>
      <c r="I19" s="326"/>
      <c r="J19" s="15" t="s">
        <v>170</v>
      </c>
      <c r="K19" s="24">
        <v>6</v>
      </c>
      <c r="L19" s="301">
        <f t="shared" si="0"/>
        <v>0</v>
      </c>
      <c r="M19" s="16"/>
      <c r="N19" s="25"/>
      <c r="O19" s="25"/>
      <c r="P19" s="25"/>
      <c r="Q19" s="25"/>
      <c r="R19" s="25"/>
      <c r="S19" s="25"/>
      <c r="T19" s="25"/>
      <c r="U19" s="25"/>
      <c r="V19" s="25"/>
    </row>
    <row r="20" spans="1:28" s="22" customFormat="1" ht="14.1" customHeight="1">
      <c r="A20" s="74" t="s">
        <v>30</v>
      </c>
      <c r="B20" s="75"/>
      <c r="C20" s="23"/>
      <c r="D20" s="588" t="s">
        <v>174</v>
      </c>
      <c r="E20" s="589"/>
      <c r="F20" s="589"/>
      <c r="G20" s="589"/>
      <c r="H20" s="590"/>
      <c r="I20" s="326"/>
      <c r="J20" s="15" t="s">
        <v>430</v>
      </c>
      <c r="K20" s="24">
        <v>0.75</v>
      </c>
      <c r="L20" s="301">
        <f t="shared" si="0"/>
        <v>0</v>
      </c>
      <c r="M20" s="16"/>
      <c r="N20" s="25"/>
      <c r="O20" s="25"/>
      <c r="P20" s="25"/>
      <c r="Q20" s="25"/>
      <c r="R20" s="25"/>
      <c r="S20" s="25"/>
      <c r="T20" s="25"/>
      <c r="U20" s="25"/>
      <c r="V20" s="25"/>
    </row>
    <row r="21" spans="1:28" s="3" customFormat="1" ht="14.1" customHeight="1">
      <c r="A21" s="70"/>
      <c r="B21" s="71"/>
      <c r="C21" s="28"/>
      <c r="D21" s="588" t="s">
        <v>175</v>
      </c>
      <c r="E21" s="589"/>
      <c r="F21" s="589"/>
      <c r="G21" s="589"/>
      <c r="H21" s="590"/>
      <c r="I21" s="327"/>
      <c r="J21" s="15" t="s">
        <v>430</v>
      </c>
      <c r="K21" s="24">
        <v>7</v>
      </c>
      <c r="L21" s="301">
        <f t="shared" si="0"/>
        <v>0</v>
      </c>
      <c r="M21" s="17"/>
      <c r="N21" s="17"/>
      <c r="O21" s="17"/>
      <c r="P21" s="17"/>
      <c r="Q21" s="17"/>
      <c r="R21" s="17"/>
      <c r="S21" s="17"/>
      <c r="T21" s="17"/>
      <c r="U21" s="17"/>
      <c r="V21" s="17"/>
    </row>
    <row r="22" spans="1:28" s="30" customFormat="1" ht="14.1" customHeight="1">
      <c r="A22" s="70"/>
      <c r="B22" s="71"/>
      <c r="C22" s="29"/>
      <c r="D22" s="588" t="s">
        <v>176</v>
      </c>
      <c r="E22" s="589"/>
      <c r="F22" s="589"/>
      <c r="G22" s="589"/>
      <c r="H22" s="590"/>
      <c r="I22" s="328"/>
      <c r="J22" s="15" t="s">
        <v>430</v>
      </c>
      <c r="K22" s="24">
        <v>6</v>
      </c>
      <c r="L22" s="301">
        <f t="shared" si="0"/>
        <v>0</v>
      </c>
      <c r="M22" s="18"/>
      <c r="N22" s="87"/>
      <c r="O22" s="87"/>
      <c r="P22" s="87"/>
      <c r="Q22" s="87"/>
      <c r="R22" s="87"/>
      <c r="S22" s="87"/>
      <c r="T22" s="87"/>
      <c r="U22" s="87"/>
      <c r="V22" s="87"/>
      <c r="W22" s="87"/>
      <c r="X22" s="87"/>
      <c r="Y22" s="87"/>
      <c r="Z22" s="18"/>
      <c r="AA22" s="18"/>
    </row>
    <row r="23" spans="1:28" s="22" customFormat="1" ht="14.1" customHeight="1">
      <c r="A23" s="70"/>
      <c r="B23" s="71"/>
      <c r="C23" s="23"/>
      <c r="D23" s="588" t="s">
        <v>177</v>
      </c>
      <c r="E23" s="589"/>
      <c r="F23" s="589"/>
      <c r="G23" s="589"/>
      <c r="H23" s="590"/>
      <c r="I23" s="326"/>
      <c r="J23" s="15" t="s">
        <v>430</v>
      </c>
      <c r="K23" s="24">
        <v>2.25</v>
      </c>
      <c r="L23" s="301">
        <f t="shared" si="0"/>
        <v>0</v>
      </c>
      <c r="M23" s="16"/>
      <c r="N23" s="88"/>
      <c r="O23" s="88"/>
      <c r="P23" s="88"/>
      <c r="Q23" s="88"/>
      <c r="R23" s="88"/>
      <c r="S23" s="88"/>
      <c r="T23" s="88"/>
      <c r="U23" s="88"/>
      <c r="V23" s="88"/>
      <c r="W23" s="88"/>
      <c r="X23" s="88"/>
      <c r="Y23" s="88"/>
      <c r="Z23" s="16"/>
      <c r="AA23" s="16"/>
    </row>
    <row r="24" spans="1:28" s="22" customFormat="1" ht="14.1" customHeight="1">
      <c r="A24" s="70"/>
      <c r="B24" s="71"/>
      <c r="C24" s="23"/>
      <c r="D24" s="588" t="s">
        <v>178</v>
      </c>
      <c r="E24" s="589"/>
      <c r="F24" s="589"/>
      <c r="G24" s="589"/>
      <c r="H24" s="590"/>
      <c r="I24" s="326"/>
      <c r="J24" s="15" t="s">
        <v>430</v>
      </c>
      <c r="K24" s="24">
        <v>7</v>
      </c>
      <c r="L24" s="301">
        <f t="shared" si="0"/>
        <v>0</v>
      </c>
      <c r="M24" s="16"/>
      <c r="N24" s="16"/>
      <c r="O24" s="16"/>
      <c r="P24" s="16"/>
      <c r="Q24" s="16"/>
      <c r="R24" s="16"/>
      <c r="S24" s="16"/>
      <c r="T24" s="16"/>
      <c r="U24" s="16"/>
      <c r="V24" s="16"/>
      <c r="W24" s="16"/>
      <c r="X24" s="16"/>
      <c r="Y24" s="16"/>
      <c r="Z24" s="16"/>
      <c r="AA24" s="16"/>
    </row>
    <row r="25" spans="1:28" s="22" customFormat="1" ht="14.1" customHeight="1">
      <c r="A25" s="70"/>
      <c r="B25" s="71"/>
      <c r="C25" s="23"/>
      <c r="D25" s="588" t="s">
        <v>179</v>
      </c>
      <c r="E25" s="589"/>
      <c r="F25" s="589"/>
      <c r="G25" s="589"/>
      <c r="H25" s="590"/>
      <c r="I25" s="326"/>
      <c r="J25" s="15" t="s">
        <v>430</v>
      </c>
      <c r="K25" s="24">
        <v>2.5</v>
      </c>
      <c r="L25" s="301">
        <f t="shared" si="0"/>
        <v>0</v>
      </c>
      <c r="M25" s="16"/>
      <c r="N25" s="25"/>
      <c r="O25" s="25"/>
      <c r="P25" s="25"/>
      <c r="Q25" s="25"/>
      <c r="R25" s="25"/>
      <c r="S25" s="25"/>
      <c r="T25" s="25"/>
      <c r="U25" s="25"/>
      <c r="V25" s="25"/>
    </row>
    <row r="26" spans="1:28" s="22" customFormat="1" ht="14.1" customHeight="1">
      <c r="A26" s="70"/>
      <c r="B26" s="71"/>
      <c r="C26" s="23"/>
      <c r="D26" s="588" t="s">
        <v>180</v>
      </c>
      <c r="E26" s="589"/>
      <c r="F26" s="589"/>
      <c r="G26" s="589"/>
      <c r="H26" s="590"/>
      <c r="I26" s="326"/>
      <c r="J26" s="15" t="s">
        <v>181</v>
      </c>
      <c r="K26" s="24">
        <v>500</v>
      </c>
      <c r="L26" s="301">
        <f t="shared" si="0"/>
        <v>0</v>
      </c>
      <c r="M26" s="16"/>
      <c r="N26" s="25"/>
      <c r="O26" s="25"/>
      <c r="P26" s="25"/>
      <c r="Q26" s="25"/>
      <c r="R26" s="25"/>
      <c r="S26" s="25"/>
      <c r="T26" s="25"/>
      <c r="U26" s="25"/>
      <c r="V26" s="25"/>
    </row>
    <row r="27" spans="1:28" s="22" customFormat="1" ht="14.1" customHeight="1">
      <c r="A27" s="72"/>
      <c r="B27" s="73"/>
      <c r="C27" s="23"/>
      <c r="D27" s="588" t="s">
        <v>182</v>
      </c>
      <c r="E27" s="589"/>
      <c r="F27" s="589"/>
      <c r="G27" s="589"/>
      <c r="H27" s="590"/>
      <c r="I27" s="326"/>
      <c r="J27" s="15" t="s">
        <v>430</v>
      </c>
      <c r="K27" s="24">
        <v>0.75</v>
      </c>
      <c r="L27" s="301">
        <f t="shared" si="0"/>
        <v>0</v>
      </c>
      <c r="M27" s="16"/>
      <c r="N27" s="25"/>
      <c r="O27" s="25"/>
      <c r="P27" s="25"/>
      <c r="Q27" s="25"/>
      <c r="R27" s="25"/>
      <c r="S27" s="25"/>
      <c r="T27" s="25"/>
      <c r="U27" s="25"/>
      <c r="V27" s="25"/>
    </row>
    <row r="28" spans="1:28" s="22" customFormat="1" ht="14.1" customHeight="1">
      <c r="A28" s="74" t="s">
        <v>31</v>
      </c>
      <c r="B28" s="75"/>
      <c r="C28" s="23"/>
      <c r="D28" s="588" t="s">
        <v>7</v>
      </c>
      <c r="E28" s="589"/>
      <c r="F28" s="589"/>
      <c r="G28" s="589"/>
      <c r="H28" s="590"/>
      <c r="I28" s="326"/>
      <c r="J28" s="15" t="s">
        <v>181</v>
      </c>
      <c r="K28" s="24">
        <v>5000</v>
      </c>
      <c r="L28" s="301">
        <f t="shared" si="0"/>
        <v>0</v>
      </c>
      <c r="M28" s="16"/>
      <c r="N28" s="25"/>
      <c r="O28" s="25"/>
      <c r="P28" s="25"/>
      <c r="Q28" s="25"/>
      <c r="R28" s="25"/>
      <c r="S28" s="25"/>
      <c r="T28" s="25"/>
      <c r="U28" s="25"/>
      <c r="V28" s="25"/>
    </row>
    <row r="29" spans="1:28" s="22" customFormat="1" ht="14.1" customHeight="1">
      <c r="A29" s="70"/>
      <c r="B29" s="71"/>
      <c r="C29" s="23"/>
      <c r="D29" s="588" t="s">
        <v>183</v>
      </c>
      <c r="E29" s="589"/>
      <c r="F29" s="589"/>
      <c r="G29" s="589"/>
      <c r="H29" s="590"/>
      <c r="I29" s="329"/>
      <c r="J29" s="15" t="s">
        <v>162</v>
      </c>
      <c r="K29" s="24">
        <v>6</v>
      </c>
      <c r="L29" s="301">
        <f t="shared" si="0"/>
        <v>0</v>
      </c>
      <c r="M29" s="8"/>
      <c r="N29" s="25"/>
      <c r="O29" s="25"/>
      <c r="P29" s="25"/>
      <c r="Q29" s="25"/>
      <c r="R29" s="25"/>
      <c r="S29" s="25"/>
      <c r="T29" s="25"/>
      <c r="U29" s="25"/>
      <c r="V29" s="25"/>
    </row>
    <row r="30" spans="1:28" s="22" customFormat="1" ht="14.1" customHeight="1">
      <c r="A30" s="70"/>
      <c r="B30" s="71"/>
      <c r="C30" s="23"/>
      <c r="D30" s="588" t="s">
        <v>184</v>
      </c>
      <c r="E30" s="589"/>
      <c r="F30" s="589"/>
      <c r="G30" s="589"/>
      <c r="H30" s="590"/>
      <c r="I30" s="329"/>
      <c r="J30" s="15" t="s">
        <v>162</v>
      </c>
      <c r="K30" s="24">
        <v>18</v>
      </c>
      <c r="L30" s="301">
        <f t="shared" si="0"/>
        <v>0</v>
      </c>
      <c r="M30" s="8"/>
      <c r="N30" s="25"/>
      <c r="O30" s="25"/>
      <c r="P30" s="89"/>
      <c r="Q30" s="25"/>
      <c r="R30" s="25"/>
      <c r="S30" s="25"/>
      <c r="T30" s="25"/>
      <c r="U30" s="25"/>
      <c r="V30" s="25"/>
    </row>
    <row r="31" spans="1:28" s="22" customFormat="1" ht="14.1" customHeight="1">
      <c r="A31" s="70"/>
      <c r="B31" s="71"/>
      <c r="C31" s="23"/>
      <c r="D31" s="588" t="s">
        <v>185</v>
      </c>
      <c r="E31" s="589"/>
      <c r="F31" s="589"/>
      <c r="G31" s="589"/>
      <c r="H31" s="590"/>
      <c r="I31" s="329"/>
      <c r="J31" s="15" t="s">
        <v>162</v>
      </c>
      <c r="K31" s="24">
        <v>11.5</v>
      </c>
      <c r="L31" s="301">
        <f t="shared" si="0"/>
        <v>0</v>
      </c>
      <c r="M31" s="8"/>
      <c r="N31" s="25"/>
      <c r="O31" s="25"/>
      <c r="P31" s="25"/>
      <c r="Q31" s="90"/>
      <c r="R31" s="90"/>
      <c r="S31" s="25"/>
      <c r="T31" s="25"/>
      <c r="U31" s="25"/>
      <c r="V31" s="25"/>
    </row>
    <row r="32" spans="1:28" s="22" customFormat="1" ht="14.1" customHeight="1">
      <c r="A32" s="70"/>
      <c r="B32" s="71"/>
      <c r="C32" s="23"/>
      <c r="D32" s="588" t="s">
        <v>186</v>
      </c>
      <c r="E32" s="589"/>
      <c r="F32" s="589"/>
      <c r="G32" s="589"/>
      <c r="H32" s="590"/>
      <c r="I32" s="329"/>
      <c r="J32" s="15" t="s">
        <v>162</v>
      </c>
      <c r="K32" s="24">
        <v>3.5</v>
      </c>
      <c r="L32" s="301">
        <f t="shared" si="0"/>
        <v>0</v>
      </c>
      <c r="M32" s="8"/>
      <c r="N32" s="25"/>
      <c r="O32" s="25"/>
      <c r="P32" s="16"/>
      <c r="Q32" s="16"/>
      <c r="R32" s="16"/>
      <c r="S32" s="16"/>
      <c r="T32" s="16"/>
      <c r="U32" s="16"/>
      <c r="V32" s="16"/>
      <c r="W32" s="8"/>
      <c r="X32" s="8"/>
      <c r="Y32" s="8"/>
      <c r="Z32" s="8"/>
      <c r="AA32" s="8"/>
      <c r="AB32" s="8"/>
    </row>
    <row r="33" spans="1:28" s="22" customFormat="1" ht="14.1" customHeight="1">
      <c r="A33" s="72"/>
      <c r="B33" s="73"/>
      <c r="C33" s="23"/>
      <c r="D33" s="588" t="s">
        <v>187</v>
      </c>
      <c r="E33" s="589"/>
      <c r="F33" s="589"/>
      <c r="G33" s="589"/>
      <c r="H33" s="590"/>
      <c r="I33" s="329"/>
      <c r="J33" s="15" t="s">
        <v>162</v>
      </c>
      <c r="K33" s="24">
        <v>0.75</v>
      </c>
      <c r="L33" s="301">
        <f t="shared" si="0"/>
        <v>0</v>
      </c>
      <c r="M33" s="8"/>
      <c r="N33" s="25"/>
      <c r="O33" s="25"/>
      <c r="P33" s="16"/>
      <c r="Q33" s="25"/>
      <c r="R33" s="87"/>
      <c r="S33" s="87"/>
      <c r="T33" s="87"/>
      <c r="U33" s="87"/>
      <c r="V33" s="87"/>
      <c r="W33" s="91"/>
      <c r="X33" s="91"/>
      <c r="Y33" s="91"/>
      <c r="Z33" s="91"/>
      <c r="AA33" s="91"/>
      <c r="AB33" s="91"/>
    </row>
    <row r="34" spans="1:28" s="22" customFormat="1" ht="14.1" customHeight="1">
      <c r="A34" s="74" t="s">
        <v>32</v>
      </c>
      <c r="B34" s="75"/>
      <c r="C34" s="23"/>
      <c r="D34" s="588" t="s">
        <v>188</v>
      </c>
      <c r="E34" s="589"/>
      <c r="F34" s="589"/>
      <c r="G34" s="589"/>
      <c r="H34" s="590"/>
      <c r="I34" s="329"/>
      <c r="J34" s="15" t="s">
        <v>430</v>
      </c>
      <c r="K34" s="24">
        <v>3</v>
      </c>
      <c r="L34" s="301">
        <f t="shared" si="0"/>
        <v>0</v>
      </c>
      <c r="M34" s="8"/>
      <c r="N34" s="25"/>
      <c r="O34" s="25"/>
      <c r="P34" s="16"/>
      <c r="Q34" s="16"/>
      <c r="R34" s="16"/>
      <c r="S34" s="16"/>
      <c r="T34" s="16"/>
      <c r="U34" s="16"/>
      <c r="V34" s="16"/>
      <c r="W34" s="8"/>
      <c r="X34" s="8"/>
      <c r="Y34" s="8"/>
      <c r="Z34" s="8"/>
      <c r="AA34" s="8"/>
      <c r="AB34" s="8"/>
    </row>
    <row r="35" spans="1:28" s="22" customFormat="1" ht="14.1" customHeight="1">
      <c r="A35" s="70"/>
      <c r="B35" s="71"/>
      <c r="C35" s="23"/>
      <c r="D35" s="588" t="s">
        <v>189</v>
      </c>
      <c r="E35" s="589"/>
      <c r="F35" s="589"/>
      <c r="G35" s="589"/>
      <c r="H35" s="590"/>
      <c r="I35" s="329"/>
      <c r="J35" s="15" t="s">
        <v>430</v>
      </c>
      <c r="K35" s="24">
        <v>2</v>
      </c>
      <c r="L35" s="301">
        <f t="shared" si="0"/>
        <v>0</v>
      </c>
      <c r="M35" s="8"/>
      <c r="N35" s="25"/>
      <c r="O35" s="25"/>
      <c r="P35" s="16"/>
      <c r="Q35" s="16"/>
      <c r="R35" s="16"/>
      <c r="S35" s="16"/>
      <c r="T35" s="16"/>
      <c r="U35" s="16"/>
      <c r="V35" s="16"/>
      <c r="W35" s="8"/>
      <c r="X35" s="8"/>
      <c r="Y35" s="8"/>
      <c r="Z35" s="8"/>
      <c r="AA35" s="8"/>
      <c r="AB35" s="8"/>
    </row>
    <row r="36" spans="1:28" s="22" customFormat="1" ht="14.1" customHeight="1">
      <c r="A36" s="70"/>
      <c r="B36" s="71"/>
      <c r="C36" s="23"/>
      <c r="D36" s="588" t="s">
        <v>190</v>
      </c>
      <c r="E36" s="589"/>
      <c r="F36" s="589"/>
      <c r="G36" s="589"/>
      <c r="H36" s="590"/>
      <c r="I36" s="329"/>
      <c r="J36" s="15" t="s">
        <v>170</v>
      </c>
      <c r="K36" s="24">
        <v>1.65</v>
      </c>
      <c r="L36" s="301">
        <f t="shared" si="0"/>
        <v>0</v>
      </c>
      <c r="M36" s="8"/>
      <c r="N36" s="25"/>
      <c r="O36" s="25"/>
      <c r="P36" s="16"/>
      <c r="Q36" s="16"/>
      <c r="R36" s="16"/>
      <c r="S36" s="16"/>
      <c r="T36" s="16"/>
      <c r="U36" s="16"/>
      <c r="V36" s="16"/>
      <c r="W36" s="8"/>
      <c r="X36" s="8"/>
      <c r="Y36" s="8"/>
      <c r="Z36" s="8"/>
      <c r="AA36" s="8"/>
      <c r="AB36" s="8"/>
    </row>
    <row r="37" spans="1:28" s="22" customFormat="1" ht="14.1" customHeight="1">
      <c r="A37" s="70"/>
      <c r="B37" s="71"/>
      <c r="C37" s="23"/>
      <c r="D37" s="588" t="s">
        <v>191</v>
      </c>
      <c r="E37" s="589"/>
      <c r="F37" s="589"/>
      <c r="G37" s="589"/>
      <c r="H37" s="590"/>
      <c r="I37" s="329"/>
      <c r="J37" s="15" t="s">
        <v>162</v>
      </c>
      <c r="K37" s="24">
        <v>1.75</v>
      </c>
      <c r="L37" s="301">
        <f t="shared" si="0"/>
        <v>0</v>
      </c>
      <c r="M37" s="8"/>
      <c r="O37" s="25"/>
      <c r="P37" s="25"/>
      <c r="Q37" s="25"/>
      <c r="R37" s="25"/>
      <c r="S37" s="25"/>
      <c r="T37" s="25"/>
      <c r="U37" s="25"/>
      <c r="V37" s="25"/>
    </row>
    <row r="38" spans="1:28" s="22" customFormat="1" ht="14.1" customHeight="1">
      <c r="A38" s="70"/>
      <c r="B38" s="71"/>
      <c r="C38" s="23"/>
      <c r="D38" s="588" t="s">
        <v>192</v>
      </c>
      <c r="E38" s="589"/>
      <c r="F38" s="589"/>
      <c r="G38" s="589"/>
      <c r="H38" s="590"/>
      <c r="I38" s="329"/>
      <c r="J38" s="15" t="s">
        <v>162</v>
      </c>
      <c r="K38" s="24">
        <v>1</v>
      </c>
      <c r="L38" s="301">
        <f t="shared" si="0"/>
        <v>0</v>
      </c>
      <c r="M38" s="8"/>
      <c r="N38" s="25"/>
      <c r="O38" s="25"/>
      <c r="P38" s="25"/>
      <c r="Q38" s="25"/>
      <c r="R38" s="25"/>
      <c r="S38" s="25"/>
      <c r="T38" s="25"/>
      <c r="U38" s="25"/>
      <c r="V38" s="25"/>
    </row>
    <row r="39" spans="1:28" s="22" customFormat="1" ht="14.1" customHeight="1">
      <c r="A39" s="72"/>
      <c r="B39" s="73"/>
      <c r="C39" s="23"/>
      <c r="D39" s="588" t="s">
        <v>193</v>
      </c>
      <c r="E39" s="589"/>
      <c r="F39" s="589"/>
      <c r="G39" s="589"/>
      <c r="H39" s="590"/>
      <c r="I39" s="329"/>
      <c r="J39" s="15" t="s">
        <v>162</v>
      </c>
      <c r="K39" s="24">
        <v>1</v>
      </c>
      <c r="L39" s="301">
        <f t="shared" si="0"/>
        <v>0</v>
      </c>
      <c r="M39" s="8"/>
      <c r="N39" s="25"/>
      <c r="O39" s="25"/>
      <c r="P39" s="25"/>
      <c r="Q39" s="25"/>
      <c r="R39" s="25"/>
      <c r="S39" s="25"/>
      <c r="T39" s="25"/>
      <c r="U39" s="25"/>
      <c r="V39" s="25"/>
    </row>
    <row r="40" spans="1:28" s="22" customFormat="1" ht="14.1" customHeight="1">
      <c r="A40" s="74" t="s">
        <v>33</v>
      </c>
      <c r="B40" s="75"/>
      <c r="C40" s="23"/>
      <c r="D40" s="588" t="s">
        <v>194</v>
      </c>
      <c r="E40" s="589"/>
      <c r="F40" s="589"/>
      <c r="G40" s="589"/>
      <c r="H40" s="590"/>
      <c r="I40" s="329"/>
      <c r="J40" s="15" t="s">
        <v>165</v>
      </c>
      <c r="K40" s="24">
        <v>250</v>
      </c>
      <c r="L40" s="301">
        <f t="shared" si="0"/>
        <v>0</v>
      </c>
      <c r="M40" s="8"/>
      <c r="N40" s="25"/>
      <c r="O40" s="25"/>
      <c r="P40" s="25"/>
      <c r="Q40" s="25"/>
      <c r="R40" s="25"/>
      <c r="S40" s="25"/>
      <c r="T40" s="25"/>
      <c r="U40" s="25"/>
      <c r="V40" s="25"/>
    </row>
    <row r="41" spans="1:28" s="22" customFormat="1" ht="14.1" customHeight="1">
      <c r="A41" s="70"/>
      <c r="B41" s="71"/>
      <c r="C41" s="23"/>
      <c r="D41" s="588" t="s">
        <v>195</v>
      </c>
      <c r="E41" s="589"/>
      <c r="F41" s="589"/>
      <c r="G41" s="589"/>
      <c r="H41" s="590"/>
      <c r="I41" s="329"/>
      <c r="J41" s="15" t="s">
        <v>165</v>
      </c>
      <c r="K41" s="24">
        <v>450</v>
      </c>
      <c r="L41" s="301">
        <f t="shared" si="0"/>
        <v>0</v>
      </c>
      <c r="M41" s="8"/>
      <c r="N41" s="25"/>
      <c r="O41" s="25"/>
      <c r="P41" s="25"/>
      <c r="Q41" s="25"/>
      <c r="R41" s="25"/>
      <c r="S41" s="25"/>
      <c r="T41" s="25"/>
      <c r="U41" s="25"/>
      <c r="V41" s="25"/>
    </row>
    <row r="42" spans="1:28" s="22" customFormat="1" ht="14.1" customHeight="1">
      <c r="A42" s="72"/>
      <c r="B42" s="73"/>
      <c r="C42" s="23"/>
      <c r="D42" s="588" t="s">
        <v>196</v>
      </c>
      <c r="E42" s="589"/>
      <c r="F42" s="589"/>
      <c r="G42" s="589"/>
      <c r="H42" s="590"/>
      <c r="I42" s="329"/>
      <c r="J42" s="15" t="s">
        <v>165</v>
      </c>
      <c r="K42" s="24">
        <v>850</v>
      </c>
      <c r="L42" s="301">
        <f t="shared" si="0"/>
        <v>0</v>
      </c>
      <c r="M42" s="8"/>
      <c r="N42" s="25"/>
      <c r="O42" s="25"/>
      <c r="P42" s="25"/>
      <c r="Q42" s="25"/>
      <c r="R42" s="25"/>
      <c r="S42" s="25"/>
      <c r="T42" s="25"/>
      <c r="U42" s="25"/>
      <c r="V42" s="25"/>
    </row>
    <row r="43" spans="1:28" s="22" customFormat="1">
      <c r="A43" s="601" t="s">
        <v>438</v>
      </c>
      <c r="B43" s="601"/>
      <c r="C43" s="601"/>
      <c r="D43" s="601"/>
      <c r="E43" s="601"/>
      <c r="F43" s="601"/>
      <c r="G43" s="601"/>
      <c r="H43" s="601"/>
      <c r="I43" s="601"/>
      <c r="J43" s="601"/>
      <c r="K43" s="601"/>
      <c r="L43" s="601"/>
      <c r="M43" s="8"/>
      <c r="N43" s="25"/>
      <c r="O43" s="25"/>
      <c r="P43" s="25"/>
      <c r="Q43" s="25"/>
      <c r="R43" s="25"/>
      <c r="S43" s="25"/>
      <c r="T43" s="25"/>
      <c r="U43" s="25"/>
      <c r="V43" s="25"/>
    </row>
    <row r="44" spans="1:28" s="3" customFormat="1" ht="21.75" thickBot="1">
      <c r="A44" s="600" t="s">
        <v>49</v>
      </c>
      <c r="B44" s="600"/>
      <c r="C44" s="600"/>
      <c r="D44" s="600"/>
      <c r="E44" s="600"/>
      <c r="F44" s="600"/>
      <c r="G44" s="600"/>
      <c r="H44" s="600"/>
      <c r="I44" s="600"/>
      <c r="J44" s="600"/>
      <c r="K44" s="600"/>
      <c r="L44" s="600"/>
      <c r="N44" s="17"/>
      <c r="O44" s="17"/>
      <c r="P44" s="17"/>
      <c r="Q44" s="17"/>
      <c r="R44" s="17"/>
      <c r="S44" s="17"/>
      <c r="T44" s="17"/>
      <c r="U44" s="17"/>
      <c r="V44" s="17"/>
    </row>
    <row r="45" spans="1:28" s="22" customFormat="1" ht="14.1" customHeight="1" thickBot="1">
      <c r="A45" s="591" t="s">
        <v>158</v>
      </c>
      <c r="B45" s="592"/>
      <c r="C45" s="298" t="s">
        <v>27</v>
      </c>
      <c r="D45" s="592" t="s">
        <v>159</v>
      </c>
      <c r="E45" s="592"/>
      <c r="F45" s="592"/>
      <c r="G45" s="592"/>
      <c r="H45" s="592"/>
      <c r="I45" s="298" t="s">
        <v>28</v>
      </c>
      <c r="J45" s="298" t="s">
        <v>161</v>
      </c>
      <c r="K45" s="298" t="s">
        <v>15</v>
      </c>
      <c r="L45" s="299" t="s">
        <v>160</v>
      </c>
      <c r="M45" s="16"/>
      <c r="N45" s="25"/>
      <c r="O45" s="25"/>
      <c r="P45" s="25"/>
      <c r="Q45" s="25"/>
      <c r="R45" s="25"/>
      <c r="S45" s="25"/>
      <c r="T45" s="25"/>
      <c r="U45" s="25"/>
      <c r="V45" s="25"/>
    </row>
    <row r="46" spans="1:28" s="22" customFormat="1" ht="14.1" customHeight="1">
      <c r="A46" s="598" t="s">
        <v>34</v>
      </c>
      <c r="B46" s="599"/>
      <c r="C46" s="295"/>
      <c r="D46" s="593" t="s">
        <v>197</v>
      </c>
      <c r="E46" s="594"/>
      <c r="F46" s="594"/>
      <c r="G46" s="594"/>
      <c r="H46" s="595"/>
      <c r="I46" s="330"/>
      <c r="J46" s="296" t="s">
        <v>165</v>
      </c>
      <c r="K46" s="297">
        <v>775</v>
      </c>
      <c r="L46" s="300">
        <f>SUM(I46*K46)</f>
        <v>0</v>
      </c>
      <c r="N46" s="25"/>
      <c r="O46" s="25"/>
      <c r="P46" s="25"/>
      <c r="Q46" s="25"/>
      <c r="R46" s="25"/>
      <c r="S46" s="25"/>
      <c r="T46" s="25"/>
      <c r="U46" s="25"/>
      <c r="V46" s="25"/>
    </row>
    <row r="47" spans="1:28" s="22" customFormat="1" ht="14.1" customHeight="1">
      <c r="A47" s="598"/>
      <c r="B47" s="599"/>
      <c r="C47" s="23"/>
      <c r="D47" s="588" t="s">
        <v>198</v>
      </c>
      <c r="E47" s="589"/>
      <c r="F47" s="589"/>
      <c r="G47" s="589"/>
      <c r="H47" s="590"/>
      <c r="I47" s="329"/>
      <c r="J47" s="15" t="s">
        <v>165</v>
      </c>
      <c r="K47" s="24">
        <v>1000</v>
      </c>
      <c r="L47" s="301">
        <f t="shared" ref="L47:L78" si="1">SUM(I47*K47)</f>
        <v>0</v>
      </c>
      <c r="N47" s="25"/>
      <c r="O47" s="25"/>
      <c r="P47" s="25"/>
      <c r="Q47" s="25"/>
      <c r="R47" s="25"/>
      <c r="S47" s="25"/>
      <c r="T47" s="25"/>
      <c r="U47" s="25"/>
      <c r="V47" s="25"/>
    </row>
    <row r="48" spans="1:28" s="22" customFormat="1" ht="14.1" customHeight="1">
      <c r="A48" s="598"/>
      <c r="B48" s="599"/>
      <c r="C48" s="23"/>
      <c r="D48" s="588" t="s">
        <v>199</v>
      </c>
      <c r="E48" s="589"/>
      <c r="F48" s="589"/>
      <c r="G48" s="589"/>
      <c r="H48" s="590"/>
      <c r="I48" s="329"/>
      <c r="J48" s="15" t="s">
        <v>165</v>
      </c>
      <c r="K48" s="24">
        <v>225</v>
      </c>
      <c r="L48" s="301">
        <f t="shared" si="1"/>
        <v>0</v>
      </c>
      <c r="N48" s="25"/>
      <c r="O48" s="25"/>
      <c r="P48" s="25"/>
      <c r="Q48" s="25"/>
      <c r="R48" s="25"/>
      <c r="S48" s="25"/>
      <c r="T48" s="25"/>
      <c r="U48" s="25"/>
      <c r="V48" s="25"/>
    </row>
    <row r="49" spans="1:22" s="22" customFormat="1" ht="14.1" customHeight="1">
      <c r="A49" s="598"/>
      <c r="B49" s="599"/>
      <c r="C49" s="23"/>
      <c r="D49" s="588" t="s">
        <v>200</v>
      </c>
      <c r="E49" s="589"/>
      <c r="F49" s="589"/>
      <c r="G49" s="589"/>
      <c r="H49" s="590"/>
      <c r="I49" s="329"/>
      <c r="J49" s="15" t="s">
        <v>162</v>
      </c>
      <c r="K49" s="24">
        <v>4</v>
      </c>
      <c r="L49" s="301">
        <f t="shared" si="1"/>
        <v>0</v>
      </c>
      <c r="N49" s="25"/>
      <c r="O49" s="25"/>
      <c r="P49" s="25"/>
      <c r="Q49" s="25"/>
      <c r="R49" s="25"/>
      <c r="S49" s="25"/>
      <c r="T49" s="25"/>
      <c r="U49" s="25"/>
      <c r="V49" s="25"/>
    </row>
    <row r="50" spans="1:22" s="22" customFormat="1" ht="14.1" customHeight="1">
      <c r="A50" s="602"/>
      <c r="B50" s="603"/>
      <c r="C50" s="23"/>
      <c r="D50" s="588" t="s">
        <v>201</v>
      </c>
      <c r="E50" s="589"/>
      <c r="F50" s="589"/>
      <c r="G50" s="589"/>
      <c r="H50" s="590"/>
      <c r="I50" s="329"/>
      <c r="J50" s="15" t="s">
        <v>162</v>
      </c>
      <c r="K50" s="24">
        <v>30</v>
      </c>
      <c r="L50" s="301">
        <f t="shared" si="1"/>
        <v>0</v>
      </c>
      <c r="N50" s="25"/>
      <c r="O50" s="25"/>
      <c r="P50" s="25"/>
      <c r="Q50" s="25"/>
      <c r="R50" s="25"/>
      <c r="S50" s="25"/>
      <c r="T50" s="25"/>
      <c r="U50" s="25"/>
      <c r="V50" s="25"/>
    </row>
    <row r="51" spans="1:22" s="22" customFormat="1" ht="14.1" customHeight="1">
      <c r="A51" s="604" t="s">
        <v>35</v>
      </c>
      <c r="B51" s="605"/>
      <c r="C51" s="23"/>
      <c r="D51" s="588" t="s">
        <v>202</v>
      </c>
      <c r="E51" s="589"/>
      <c r="F51" s="589"/>
      <c r="G51" s="589"/>
      <c r="H51" s="590"/>
      <c r="I51" s="329"/>
      <c r="J51" s="15" t="s">
        <v>181</v>
      </c>
      <c r="K51" s="24">
        <v>5000</v>
      </c>
      <c r="L51" s="301">
        <f t="shared" si="1"/>
        <v>0</v>
      </c>
      <c r="N51" s="25"/>
      <c r="O51" s="25"/>
      <c r="P51" s="25"/>
      <c r="Q51" s="25"/>
      <c r="R51" s="25"/>
      <c r="S51" s="25"/>
      <c r="T51" s="25"/>
      <c r="U51" s="25"/>
      <c r="V51" s="25"/>
    </row>
    <row r="52" spans="1:22" s="22" customFormat="1" ht="14.1" customHeight="1">
      <c r="A52" s="598"/>
      <c r="B52" s="599"/>
      <c r="C52" s="23"/>
      <c r="D52" s="588" t="s">
        <v>203</v>
      </c>
      <c r="E52" s="589"/>
      <c r="F52" s="589"/>
      <c r="G52" s="589"/>
      <c r="H52" s="590"/>
      <c r="I52" s="329"/>
      <c r="J52" s="15" t="s">
        <v>181</v>
      </c>
      <c r="K52" s="24">
        <v>3500</v>
      </c>
      <c r="L52" s="301">
        <f t="shared" si="1"/>
        <v>0</v>
      </c>
      <c r="N52" s="25"/>
      <c r="O52" s="25"/>
      <c r="P52" s="25"/>
      <c r="Q52" s="25"/>
      <c r="R52" s="25"/>
      <c r="S52" s="25"/>
      <c r="T52" s="25"/>
      <c r="U52" s="25"/>
      <c r="V52" s="25"/>
    </row>
    <row r="53" spans="1:22" s="22" customFormat="1" ht="14.1" customHeight="1">
      <c r="A53" s="598"/>
      <c r="B53" s="599"/>
      <c r="C53" s="23"/>
      <c r="D53" s="588" t="s">
        <v>204</v>
      </c>
      <c r="E53" s="589"/>
      <c r="F53" s="589"/>
      <c r="G53" s="589"/>
      <c r="H53" s="590"/>
      <c r="I53" s="329"/>
      <c r="J53" s="15" t="s">
        <v>181</v>
      </c>
      <c r="K53" s="24">
        <v>2000</v>
      </c>
      <c r="L53" s="301">
        <f t="shared" si="1"/>
        <v>0</v>
      </c>
      <c r="N53" s="25"/>
      <c r="O53" s="25"/>
      <c r="P53" s="25"/>
      <c r="Q53" s="25"/>
      <c r="R53" s="25"/>
      <c r="S53" s="25"/>
      <c r="T53" s="25"/>
      <c r="U53" s="25"/>
      <c r="V53" s="25"/>
    </row>
    <row r="54" spans="1:22" s="22" customFormat="1" ht="14.1" customHeight="1">
      <c r="A54" s="598"/>
      <c r="B54" s="599"/>
      <c r="C54" s="23"/>
      <c r="D54" s="588" t="s">
        <v>205</v>
      </c>
      <c r="E54" s="589"/>
      <c r="F54" s="589"/>
      <c r="G54" s="589"/>
      <c r="H54" s="590"/>
      <c r="I54" s="329"/>
      <c r="J54" s="15" t="s">
        <v>181</v>
      </c>
      <c r="K54" s="24">
        <v>500</v>
      </c>
      <c r="L54" s="301">
        <f t="shared" si="1"/>
        <v>0</v>
      </c>
      <c r="N54" s="25"/>
      <c r="O54" s="25"/>
      <c r="P54" s="25"/>
      <c r="Q54" s="25"/>
      <c r="R54" s="25"/>
      <c r="S54" s="25"/>
      <c r="T54" s="25"/>
      <c r="U54" s="25"/>
      <c r="V54" s="25"/>
    </row>
    <row r="55" spans="1:22" s="22" customFormat="1" ht="14.1" customHeight="1">
      <c r="A55" s="598"/>
      <c r="B55" s="599"/>
      <c r="C55" s="23"/>
      <c r="D55" s="588" t="s">
        <v>206</v>
      </c>
      <c r="E55" s="589"/>
      <c r="F55" s="589"/>
      <c r="G55" s="589"/>
      <c r="H55" s="590"/>
      <c r="I55" s="329"/>
      <c r="J55" s="15" t="s">
        <v>165</v>
      </c>
      <c r="K55" s="24">
        <v>500</v>
      </c>
      <c r="L55" s="301">
        <f t="shared" si="1"/>
        <v>0</v>
      </c>
      <c r="N55" s="25"/>
      <c r="O55" s="25"/>
      <c r="P55" s="25"/>
      <c r="Q55" s="25"/>
      <c r="R55" s="25"/>
      <c r="S55" s="25"/>
      <c r="T55" s="25"/>
      <c r="U55" s="25"/>
      <c r="V55" s="25"/>
    </row>
    <row r="56" spans="1:22" s="22" customFormat="1" ht="14.1" customHeight="1">
      <c r="A56" s="602"/>
      <c r="B56" s="603"/>
      <c r="C56" s="23"/>
      <c r="D56" s="588" t="s">
        <v>207</v>
      </c>
      <c r="E56" s="589"/>
      <c r="F56" s="589"/>
      <c r="G56" s="589"/>
      <c r="H56" s="590"/>
      <c r="I56" s="329"/>
      <c r="J56" s="15" t="s">
        <v>165</v>
      </c>
      <c r="K56" s="24">
        <v>130</v>
      </c>
      <c r="L56" s="301">
        <f t="shared" si="1"/>
        <v>0</v>
      </c>
      <c r="N56" s="25"/>
      <c r="O56" s="25"/>
      <c r="P56" s="25"/>
      <c r="Q56" s="25"/>
      <c r="R56" s="25"/>
      <c r="S56" s="25"/>
      <c r="T56" s="25"/>
      <c r="U56" s="25"/>
      <c r="V56" s="25"/>
    </row>
    <row r="57" spans="1:22" s="22" customFormat="1" ht="14.1" customHeight="1">
      <c r="A57" s="604" t="s">
        <v>14</v>
      </c>
      <c r="B57" s="605"/>
      <c r="C57" s="23"/>
      <c r="D57" s="588" t="s">
        <v>208</v>
      </c>
      <c r="E57" s="589"/>
      <c r="F57" s="589"/>
      <c r="G57" s="589"/>
      <c r="H57" s="590"/>
      <c r="I57" s="329"/>
      <c r="J57" s="15" t="s">
        <v>162</v>
      </c>
      <c r="K57" s="24">
        <v>2</v>
      </c>
      <c r="L57" s="301">
        <f t="shared" si="1"/>
        <v>0</v>
      </c>
      <c r="N57" s="25"/>
      <c r="O57" s="25"/>
      <c r="P57" s="25"/>
      <c r="Q57" s="25"/>
      <c r="R57" s="25"/>
      <c r="S57" s="25"/>
      <c r="T57" s="25"/>
      <c r="U57" s="25"/>
      <c r="V57" s="25"/>
    </row>
    <row r="58" spans="1:22" s="22" customFormat="1" ht="14.1" customHeight="1">
      <c r="A58" s="598"/>
      <c r="B58" s="599"/>
      <c r="C58" s="23"/>
      <c r="D58" s="588" t="s">
        <v>209</v>
      </c>
      <c r="E58" s="589"/>
      <c r="F58" s="589"/>
      <c r="G58" s="589"/>
      <c r="H58" s="590"/>
      <c r="I58" s="329"/>
      <c r="J58" s="15" t="s">
        <v>162</v>
      </c>
      <c r="K58" s="24">
        <v>7</v>
      </c>
      <c r="L58" s="301">
        <f t="shared" si="1"/>
        <v>0</v>
      </c>
      <c r="N58" s="25"/>
      <c r="O58" s="25"/>
      <c r="P58" s="25"/>
      <c r="Q58" s="25"/>
      <c r="R58" s="25"/>
      <c r="S58" s="25"/>
      <c r="T58" s="25"/>
      <c r="U58" s="25"/>
      <c r="V58" s="25"/>
    </row>
    <row r="59" spans="1:22" s="22" customFormat="1" ht="14.1" customHeight="1">
      <c r="A59" s="598"/>
      <c r="B59" s="599"/>
      <c r="C59" s="23"/>
      <c r="D59" s="588" t="s">
        <v>210</v>
      </c>
      <c r="E59" s="589"/>
      <c r="F59" s="589"/>
      <c r="G59" s="589"/>
      <c r="H59" s="590"/>
      <c r="I59" s="329"/>
      <c r="J59" s="15" t="s">
        <v>162</v>
      </c>
      <c r="K59" s="24">
        <v>4</v>
      </c>
      <c r="L59" s="301">
        <f t="shared" si="1"/>
        <v>0</v>
      </c>
      <c r="N59" s="25"/>
      <c r="O59" s="25"/>
      <c r="P59" s="25"/>
      <c r="Q59" s="25"/>
      <c r="R59" s="25"/>
      <c r="S59" s="25"/>
      <c r="T59" s="25"/>
      <c r="U59" s="25"/>
      <c r="V59" s="25"/>
    </row>
    <row r="60" spans="1:22" s="22" customFormat="1" ht="14.1" customHeight="1">
      <c r="A60" s="602"/>
      <c r="B60" s="603"/>
      <c r="C60" s="23"/>
      <c r="D60" s="588" t="s">
        <v>98</v>
      </c>
      <c r="E60" s="589"/>
      <c r="F60" s="589"/>
      <c r="G60" s="589"/>
      <c r="H60" s="590"/>
      <c r="I60" s="329"/>
      <c r="J60" s="15" t="s">
        <v>162</v>
      </c>
      <c r="K60" s="24">
        <v>2</v>
      </c>
      <c r="L60" s="301">
        <f t="shared" si="1"/>
        <v>0</v>
      </c>
      <c r="N60" s="25"/>
      <c r="O60" s="25"/>
      <c r="P60" s="25"/>
      <c r="Q60" s="25"/>
      <c r="R60" s="25"/>
      <c r="S60" s="25"/>
      <c r="T60" s="25"/>
      <c r="U60" s="25"/>
      <c r="V60" s="25"/>
    </row>
    <row r="61" spans="1:22" s="22" customFormat="1" ht="14.1" customHeight="1">
      <c r="A61" s="604" t="s">
        <v>36</v>
      </c>
      <c r="B61" s="605"/>
      <c r="C61" s="23"/>
      <c r="D61" s="588" t="s">
        <v>99</v>
      </c>
      <c r="E61" s="589"/>
      <c r="F61" s="589"/>
      <c r="G61" s="589"/>
      <c r="H61" s="590"/>
      <c r="I61" s="329"/>
      <c r="J61" s="15" t="s">
        <v>165</v>
      </c>
      <c r="K61" s="24">
        <v>3000</v>
      </c>
      <c r="L61" s="301">
        <f t="shared" si="1"/>
        <v>0</v>
      </c>
      <c r="N61" s="25"/>
      <c r="O61" s="25"/>
      <c r="P61" s="25"/>
      <c r="Q61" s="25"/>
      <c r="R61" s="25"/>
      <c r="S61" s="25"/>
      <c r="T61" s="25"/>
      <c r="U61" s="25"/>
      <c r="V61" s="25"/>
    </row>
    <row r="62" spans="1:22" s="22" customFormat="1" ht="14.1" customHeight="1">
      <c r="A62" s="598"/>
      <c r="B62" s="599"/>
      <c r="C62" s="23"/>
      <c r="D62" s="588" t="s">
        <v>100</v>
      </c>
      <c r="E62" s="589"/>
      <c r="F62" s="589"/>
      <c r="G62" s="589"/>
      <c r="H62" s="590"/>
      <c r="I62" s="329"/>
      <c r="J62" s="15" t="s">
        <v>165</v>
      </c>
      <c r="K62" s="24">
        <v>2000</v>
      </c>
      <c r="L62" s="301">
        <f t="shared" si="1"/>
        <v>0</v>
      </c>
      <c r="N62" s="25"/>
      <c r="O62" s="25"/>
      <c r="P62" s="25"/>
      <c r="Q62" s="25"/>
      <c r="R62" s="25"/>
      <c r="S62" s="25"/>
      <c r="T62" s="25"/>
      <c r="U62" s="25"/>
      <c r="V62" s="25"/>
    </row>
    <row r="63" spans="1:22" s="22" customFormat="1" ht="14.1" customHeight="1">
      <c r="A63" s="598"/>
      <c r="B63" s="599"/>
      <c r="C63" s="23"/>
      <c r="D63" s="588" t="s">
        <v>101</v>
      </c>
      <c r="E63" s="589"/>
      <c r="F63" s="589"/>
      <c r="G63" s="589"/>
      <c r="H63" s="590"/>
      <c r="I63" s="329"/>
      <c r="J63" s="15" t="s">
        <v>162</v>
      </c>
      <c r="K63" s="24">
        <v>15</v>
      </c>
      <c r="L63" s="301">
        <f t="shared" si="1"/>
        <v>0</v>
      </c>
      <c r="N63" s="25"/>
      <c r="O63" s="25"/>
      <c r="P63" s="25"/>
      <c r="Q63" s="25"/>
      <c r="R63" s="25"/>
      <c r="S63" s="25"/>
      <c r="T63" s="25"/>
      <c r="U63" s="25"/>
      <c r="V63" s="25"/>
    </row>
    <row r="64" spans="1:22" s="22" customFormat="1" ht="14.1" customHeight="1">
      <c r="A64" s="598"/>
      <c r="B64" s="599"/>
      <c r="C64" s="23"/>
      <c r="D64" s="588" t="s">
        <v>102</v>
      </c>
      <c r="E64" s="589"/>
      <c r="F64" s="589"/>
      <c r="G64" s="589"/>
      <c r="H64" s="590"/>
      <c r="I64" s="329"/>
      <c r="J64" s="15" t="s">
        <v>162</v>
      </c>
      <c r="K64" s="24">
        <v>19</v>
      </c>
      <c r="L64" s="301">
        <f t="shared" si="1"/>
        <v>0</v>
      </c>
      <c r="N64" s="25"/>
      <c r="O64" s="25"/>
      <c r="P64" s="25"/>
      <c r="Q64" s="25"/>
      <c r="R64" s="25"/>
      <c r="S64" s="25"/>
      <c r="T64" s="25"/>
      <c r="U64" s="25"/>
      <c r="V64" s="25"/>
    </row>
    <row r="65" spans="1:22" s="22" customFormat="1" ht="14.1" customHeight="1">
      <c r="A65" s="598"/>
      <c r="B65" s="599"/>
      <c r="C65" s="23"/>
      <c r="D65" s="588" t="s">
        <v>103</v>
      </c>
      <c r="E65" s="589"/>
      <c r="F65" s="589"/>
      <c r="G65" s="589"/>
      <c r="H65" s="590"/>
      <c r="I65" s="329"/>
      <c r="J65" s="15" t="s">
        <v>162</v>
      </c>
      <c r="K65" s="24">
        <v>7</v>
      </c>
      <c r="L65" s="301">
        <f t="shared" si="1"/>
        <v>0</v>
      </c>
      <c r="N65" s="25"/>
      <c r="O65" s="25"/>
      <c r="P65" s="25"/>
      <c r="Q65" s="25"/>
      <c r="R65" s="25"/>
      <c r="S65" s="25"/>
      <c r="T65" s="25"/>
      <c r="U65" s="25"/>
      <c r="V65" s="25"/>
    </row>
    <row r="66" spans="1:22" s="22" customFormat="1" ht="14.1" customHeight="1">
      <c r="A66" s="598"/>
      <c r="B66" s="599"/>
      <c r="C66" s="23"/>
      <c r="D66" s="588" t="s">
        <v>104</v>
      </c>
      <c r="E66" s="589"/>
      <c r="F66" s="589"/>
      <c r="G66" s="589"/>
      <c r="H66" s="590"/>
      <c r="I66" s="329"/>
      <c r="J66" s="15" t="s">
        <v>162</v>
      </c>
      <c r="K66" s="24">
        <v>2</v>
      </c>
      <c r="L66" s="301">
        <f t="shared" si="1"/>
        <v>0</v>
      </c>
      <c r="N66" s="25"/>
      <c r="O66" s="25"/>
      <c r="P66" s="25"/>
      <c r="Q66" s="25"/>
      <c r="R66" s="25"/>
      <c r="S66" s="25"/>
      <c r="T66" s="25"/>
      <c r="U66" s="25"/>
      <c r="V66" s="25"/>
    </row>
    <row r="67" spans="1:22" s="22" customFormat="1" ht="14.1" customHeight="1">
      <c r="A67" s="598"/>
      <c r="B67" s="599"/>
      <c r="C67" s="23"/>
      <c r="D67" s="588" t="s">
        <v>105</v>
      </c>
      <c r="E67" s="589"/>
      <c r="F67" s="589"/>
      <c r="G67" s="589"/>
      <c r="H67" s="590"/>
      <c r="I67" s="329"/>
      <c r="J67" s="15" t="s">
        <v>170</v>
      </c>
      <c r="K67" s="24">
        <v>20</v>
      </c>
      <c r="L67" s="301">
        <f t="shared" si="1"/>
        <v>0</v>
      </c>
      <c r="N67" s="25"/>
      <c r="O67" s="25"/>
      <c r="P67" s="25"/>
      <c r="Q67" s="25"/>
      <c r="R67" s="25"/>
      <c r="S67" s="25"/>
      <c r="T67" s="25"/>
      <c r="U67" s="25"/>
      <c r="V67" s="25"/>
    </row>
    <row r="68" spans="1:22" s="22" customFormat="1" ht="14.1" customHeight="1">
      <c r="A68" s="602"/>
      <c r="B68" s="603"/>
      <c r="C68" s="23"/>
      <c r="D68" s="588" t="s">
        <v>106</v>
      </c>
      <c r="E68" s="589"/>
      <c r="F68" s="589"/>
      <c r="G68" s="589"/>
      <c r="H68" s="590"/>
      <c r="I68" s="329"/>
      <c r="J68" s="15" t="s">
        <v>170</v>
      </c>
      <c r="K68" s="24">
        <v>40</v>
      </c>
      <c r="L68" s="301">
        <f t="shared" si="1"/>
        <v>0</v>
      </c>
      <c r="N68" s="25"/>
      <c r="O68" s="25"/>
      <c r="P68" s="25"/>
      <c r="Q68" s="25"/>
      <c r="R68" s="25"/>
      <c r="S68" s="25"/>
      <c r="T68" s="25"/>
      <c r="U68" s="25"/>
      <c r="V68" s="25"/>
    </row>
    <row r="69" spans="1:22" s="22" customFormat="1" ht="14.1" customHeight="1">
      <c r="A69" s="604" t="s">
        <v>37</v>
      </c>
      <c r="B69" s="605"/>
      <c r="C69" s="23"/>
      <c r="D69" s="588" t="s">
        <v>107</v>
      </c>
      <c r="E69" s="589"/>
      <c r="F69" s="589"/>
      <c r="G69" s="589"/>
      <c r="H69" s="590"/>
      <c r="I69" s="329"/>
      <c r="J69" s="15" t="s">
        <v>165</v>
      </c>
      <c r="K69" s="24">
        <v>2500</v>
      </c>
      <c r="L69" s="301">
        <f t="shared" si="1"/>
        <v>0</v>
      </c>
      <c r="N69" s="25"/>
      <c r="O69" s="25"/>
      <c r="P69" s="25"/>
      <c r="Q69" s="25"/>
      <c r="R69" s="25"/>
      <c r="S69" s="25"/>
      <c r="T69" s="25"/>
      <c r="U69" s="25"/>
      <c r="V69" s="25"/>
    </row>
    <row r="70" spans="1:22" s="22" customFormat="1" ht="14.1" customHeight="1">
      <c r="A70" s="602"/>
      <c r="B70" s="603"/>
      <c r="C70" s="23"/>
      <c r="D70" s="588" t="s">
        <v>108</v>
      </c>
      <c r="E70" s="589"/>
      <c r="F70" s="589"/>
      <c r="G70" s="589"/>
      <c r="H70" s="590"/>
      <c r="I70" s="329"/>
      <c r="J70" s="15" t="s">
        <v>165</v>
      </c>
      <c r="K70" s="24">
        <v>2000</v>
      </c>
      <c r="L70" s="301">
        <f t="shared" si="1"/>
        <v>0</v>
      </c>
      <c r="N70" s="25"/>
      <c r="O70" s="25"/>
      <c r="P70" s="25"/>
      <c r="Q70" s="25"/>
      <c r="R70" s="25"/>
      <c r="S70" s="25"/>
      <c r="T70" s="25"/>
      <c r="U70" s="25"/>
      <c r="V70" s="25"/>
    </row>
    <row r="71" spans="1:22" s="22" customFormat="1" ht="14.1" customHeight="1">
      <c r="A71" s="604" t="s">
        <v>38</v>
      </c>
      <c r="B71" s="605"/>
      <c r="C71" s="23"/>
      <c r="D71" s="588" t="s">
        <v>109</v>
      </c>
      <c r="E71" s="589"/>
      <c r="F71" s="589"/>
      <c r="G71" s="589"/>
      <c r="H71" s="590"/>
      <c r="I71" s="329"/>
      <c r="J71" s="15" t="s">
        <v>170</v>
      </c>
      <c r="K71" s="24">
        <v>15</v>
      </c>
      <c r="L71" s="301">
        <f t="shared" si="1"/>
        <v>0</v>
      </c>
      <c r="N71" s="25"/>
      <c r="O71" s="25"/>
      <c r="P71" s="25"/>
      <c r="Q71" s="25"/>
      <c r="R71" s="25"/>
      <c r="S71" s="25"/>
      <c r="T71" s="25"/>
      <c r="U71" s="25"/>
      <c r="V71" s="25"/>
    </row>
    <row r="72" spans="1:22" s="22" customFormat="1" ht="14.1" customHeight="1">
      <c r="A72" s="598"/>
      <c r="B72" s="599"/>
      <c r="C72" s="23"/>
      <c r="D72" s="588" t="s">
        <v>110</v>
      </c>
      <c r="E72" s="589"/>
      <c r="F72" s="589"/>
      <c r="G72" s="589"/>
      <c r="H72" s="590"/>
      <c r="I72" s="329"/>
      <c r="J72" s="15" t="s">
        <v>170</v>
      </c>
      <c r="K72" s="24">
        <v>45</v>
      </c>
      <c r="L72" s="301">
        <f t="shared" si="1"/>
        <v>0</v>
      </c>
      <c r="N72" s="25"/>
      <c r="O72" s="25"/>
      <c r="P72" s="25"/>
      <c r="Q72" s="25"/>
      <c r="R72" s="25"/>
      <c r="S72" s="25"/>
      <c r="T72" s="25"/>
      <c r="U72" s="25"/>
      <c r="V72" s="25"/>
    </row>
    <row r="73" spans="1:22" s="22" customFormat="1" ht="14.1" customHeight="1">
      <c r="A73" s="602"/>
      <c r="B73" s="603"/>
      <c r="C73" s="23"/>
      <c r="D73" s="588" t="s">
        <v>343</v>
      </c>
      <c r="E73" s="589"/>
      <c r="F73" s="589"/>
      <c r="G73" s="589"/>
      <c r="H73" s="590"/>
      <c r="I73" s="329"/>
      <c r="J73" s="15" t="s">
        <v>170</v>
      </c>
      <c r="K73" s="24">
        <v>8</v>
      </c>
      <c r="L73" s="301">
        <f t="shared" si="1"/>
        <v>0</v>
      </c>
      <c r="N73" s="25"/>
      <c r="O73" s="25"/>
      <c r="P73" s="25"/>
      <c r="Q73" s="25"/>
      <c r="R73" s="25"/>
      <c r="S73" s="25"/>
      <c r="T73" s="25"/>
      <c r="U73" s="25"/>
      <c r="V73" s="25"/>
    </row>
    <row r="74" spans="1:22" s="22" customFormat="1" ht="14.1" customHeight="1">
      <c r="A74" s="604" t="s">
        <v>214</v>
      </c>
      <c r="B74" s="605"/>
      <c r="C74" s="23"/>
      <c r="D74" s="588" t="s">
        <v>111</v>
      </c>
      <c r="E74" s="589"/>
      <c r="F74" s="589"/>
      <c r="G74" s="589"/>
      <c r="H74" s="590"/>
      <c r="I74" s="329"/>
      <c r="J74" s="15" t="s">
        <v>165</v>
      </c>
      <c r="K74" s="24">
        <v>10000</v>
      </c>
      <c r="L74" s="301">
        <f t="shared" si="1"/>
        <v>0</v>
      </c>
      <c r="N74" s="25"/>
      <c r="O74" s="25"/>
      <c r="P74" s="25"/>
      <c r="Q74" s="25"/>
      <c r="R74" s="25"/>
      <c r="S74" s="25"/>
      <c r="T74" s="25"/>
      <c r="U74" s="25"/>
      <c r="V74" s="25"/>
    </row>
    <row r="75" spans="1:22" s="22" customFormat="1" ht="14.1" customHeight="1">
      <c r="A75" s="613" t="s">
        <v>340</v>
      </c>
      <c r="B75" s="614"/>
      <c r="C75" s="23"/>
      <c r="D75" s="588" t="s">
        <v>112</v>
      </c>
      <c r="E75" s="589"/>
      <c r="F75" s="589"/>
      <c r="G75" s="589"/>
      <c r="H75" s="590"/>
      <c r="I75" s="329"/>
      <c r="J75" s="15" t="s">
        <v>165</v>
      </c>
      <c r="K75" s="24">
        <v>4500</v>
      </c>
      <c r="L75" s="301">
        <f t="shared" si="1"/>
        <v>0</v>
      </c>
      <c r="N75" s="25"/>
      <c r="O75" s="25"/>
      <c r="P75" s="25"/>
      <c r="Q75" s="25"/>
      <c r="R75" s="25"/>
      <c r="S75" s="25"/>
      <c r="T75" s="25"/>
      <c r="U75" s="25"/>
      <c r="V75" s="25"/>
    </row>
    <row r="76" spans="1:22" s="22" customFormat="1" ht="14.1" customHeight="1">
      <c r="A76" s="604" t="s">
        <v>215</v>
      </c>
      <c r="B76" s="605"/>
      <c r="C76" s="23"/>
      <c r="D76" s="588" t="s">
        <v>114</v>
      </c>
      <c r="E76" s="589"/>
      <c r="F76" s="589"/>
      <c r="G76" s="589"/>
      <c r="H76" s="590"/>
      <c r="I76" s="329"/>
      <c r="J76" s="15" t="s">
        <v>165</v>
      </c>
      <c r="K76" s="24">
        <v>15000</v>
      </c>
      <c r="L76" s="301">
        <f t="shared" si="1"/>
        <v>0</v>
      </c>
      <c r="N76" s="25"/>
      <c r="O76" s="25"/>
      <c r="P76" s="25"/>
      <c r="Q76" s="25"/>
      <c r="R76" s="25"/>
      <c r="S76" s="25"/>
      <c r="T76" s="25"/>
      <c r="U76" s="25"/>
      <c r="V76" s="25"/>
    </row>
    <row r="77" spans="1:22" s="22" customFormat="1" ht="14.1" customHeight="1">
      <c r="A77" s="606" t="s">
        <v>336</v>
      </c>
      <c r="B77" s="607"/>
      <c r="C77" s="23"/>
      <c r="D77" s="588" t="s">
        <v>115</v>
      </c>
      <c r="E77" s="589"/>
      <c r="F77" s="589"/>
      <c r="G77" s="589"/>
      <c r="H77" s="590"/>
      <c r="I77" s="329"/>
      <c r="J77" s="15" t="s">
        <v>165</v>
      </c>
      <c r="K77" s="24">
        <v>5500</v>
      </c>
      <c r="L77" s="301">
        <f t="shared" si="1"/>
        <v>0</v>
      </c>
      <c r="N77" s="25"/>
      <c r="O77" s="25"/>
      <c r="P77" s="25"/>
      <c r="Q77" s="25"/>
      <c r="R77" s="25"/>
      <c r="S77" s="25"/>
      <c r="T77" s="25"/>
      <c r="U77" s="25"/>
      <c r="V77" s="25"/>
    </row>
    <row r="78" spans="1:22" s="22" customFormat="1" ht="14.1" customHeight="1">
      <c r="A78" s="608"/>
      <c r="B78" s="609"/>
      <c r="C78" s="23"/>
      <c r="D78" s="588" t="s">
        <v>116</v>
      </c>
      <c r="E78" s="589"/>
      <c r="F78" s="589"/>
      <c r="G78" s="589"/>
      <c r="H78" s="590"/>
      <c r="I78" s="329"/>
      <c r="J78" s="15" t="s">
        <v>165</v>
      </c>
      <c r="K78" s="24">
        <v>3000</v>
      </c>
      <c r="L78" s="301">
        <f t="shared" si="1"/>
        <v>0</v>
      </c>
      <c r="N78" s="25"/>
      <c r="O78" s="25"/>
      <c r="P78" s="25"/>
      <c r="Q78" s="25"/>
      <c r="R78" s="25"/>
      <c r="S78" s="25"/>
      <c r="T78" s="25"/>
      <c r="U78" s="25"/>
      <c r="V78" s="25"/>
    </row>
    <row r="79" spans="1:22" s="3" customFormat="1">
      <c r="A79" s="31"/>
      <c r="B79" s="31"/>
      <c r="C79" s="2"/>
      <c r="D79" s="31"/>
      <c r="E79" s="2"/>
      <c r="F79" s="2"/>
      <c r="G79" s="32"/>
      <c r="I79" s="316"/>
      <c r="N79" s="17"/>
      <c r="O79" s="17"/>
      <c r="P79" s="17"/>
      <c r="Q79" s="17"/>
      <c r="R79" s="17"/>
      <c r="S79" s="17"/>
      <c r="T79" s="17"/>
      <c r="U79" s="17"/>
      <c r="V79" s="17"/>
    </row>
    <row r="80" spans="1:22" s="3" customFormat="1">
      <c r="A80" s="610" t="s">
        <v>50</v>
      </c>
      <c r="B80" s="610"/>
      <c r="C80" s="610"/>
      <c r="D80" s="610"/>
      <c r="E80" s="610"/>
      <c r="F80" s="610"/>
      <c r="G80" s="610"/>
      <c r="H80" s="610"/>
      <c r="I80" s="610"/>
      <c r="J80" s="610"/>
      <c r="K80" s="610"/>
      <c r="L80" s="610"/>
      <c r="N80" s="17"/>
      <c r="O80" s="17"/>
      <c r="P80" s="17"/>
      <c r="Q80" s="17"/>
      <c r="R80" s="17"/>
      <c r="S80" s="17"/>
      <c r="T80" s="17"/>
      <c r="U80" s="17"/>
      <c r="V80" s="17"/>
    </row>
    <row r="81" spans="1:22" s="3" customFormat="1">
      <c r="A81" s="611"/>
      <c r="B81" s="611"/>
      <c r="C81" s="611"/>
      <c r="D81" s="611"/>
      <c r="E81" s="611"/>
      <c r="F81" s="611"/>
      <c r="G81" s="611"/>
      <c r="H81" s="611"/>
      <c r="I81" s="611"/>
      <c r="J81" s="611"/>
      <c r="K81" s="611"/>
      <c r="L81" s="611"/>
      <c r="N81" s="17"/>
      <c r="O81" s="17"/>
      <c r="P81" s="17"/>
      <c r="Q81" s="17"/>
      <c r="R81" s="17"/>
      <c r="S81" s="17"/>
      <c r="T81" s="17"/>
      <c r="U81" s="17"/>
      <c r="V81" s="17"/>
    </row>
    <row r="82" spans="1:22" s="3" customFormat="1">
      <c r="A82" s="612"/>
      <c r="B82" s="612"/>
      <c r="C82" s="612"/>
      <c r="D82" s="612"/>
      <c r="E82" s="612"/>
      <c r="F82" s="612"/>
      <c r="G82" s="612"/>
      <c r="H82" s="612"/>
      <c r="I82" s="612"/>
      <c r="J82" s="612"/>
      <c r="K82" s="612"/>
      <c r="L82" s="612"/>
      <c r="N82" s="17"/>
      <c r="O82" s="17"/>
      <c r="P82" s="17"/>
      <c r="Q82" s="17"/>
      <c r="R82" s="17"/>
      <c r="S82" s="17"/>
      <c r="T82" s="17"/>
      <c r="U82" s="17"/>
      <c r="V82" s="17"/>
    </row>
    <row r="83" spans="1:22" s="3" customFormat="1">
      <c r="A83" s="612"/>
      <c r="B83" s="612"/>
      <c r="C83" s="612"/>
      <c r="D83" s="612"/>
      <c r="E83" s="612"/>
      <c r="F83" s="612"/>
      <c r="G83" s="612"/>
      <c r="H83" s="612"/>
      <c r="I83" s="612"/>
      <c r="J83" s="612"/>
      <c r="K83" s="612"/>
      <c r="L83" s="612"/>
      <c r="N83" s="17"/>
      <c r="O83" s="17"/>
      <c r="P83" s="17"/>
      <c r="Q83" s="17"/>
      <c r="R83" s="17"/>
      <c r="S83" s="17"/>
      <c r="T83" s="17"/>
      <c r="U83" s="17"/>
      <c r="V83" s="17"/>
    </row>
    <row r="84" spans="1:22" s="3" customFormat="1">
      <c r="A84" s="612"/>
      <c r="B84" s="612"/>
      <c r="C84" s="612"/>
      <c r="D84" s="612"/>
      <c r="E84" s="612"/>
      <c r="F84" s="612"/>
      <c r="G84" s="612"/>
      <c r="H84" s="612"/>
      <c r="I84" s="612"/>
      <c r="J84" s="612"/>
      <c r="K84" s="612"/>
      <c r="L84" s="612"/>
      <c r="N84" s="17"/>
      <c r="O84" s="17"/>
      <c r="P84" s="17"/>
      <c r="Q84" s="17"/>
      <c r="R84" s="17"/>
      <c r="S84" s="17"/>
      <c r="T84" s="17"/>
      <c r="U84" s="17"/>
      <c r="V84" s="17"/>
    </row>
    <row r="85" spans="1:22" s="3" customFormat="1">
      <c r="A85" s="612"/>
      <c r="B85" s="612"/>
      <c r="C85" s="612"/>
      <c r="D85" s="612"/>
      <c r="E85" s="612"/>
      <c r="F85" s="612"/>
      <c r="G85" s="612"/>
      <c r="H85" s="612"/>
      <c r="I85" s="612"/>
      <c r="J85" s="612"/>
      <c r="K85" s="612"/>
      <c r="L85" s="612"/>
      <c r="N85" s="17"/>
      <c r="O85" s="17"/>
      <c r="P85" s="17"/>
      <c r="Q85" s="17"/>
      <c r="R85" s="17"/>
      <c r="S85" s="17"/>
      <c r="T85" s="17"/>
      <c r="U85" s="17"/>
      <c r="V85" s="17"/>
    </row>
    <row r="86" spans="1:22" s="3" customFormat="1">
      <c r="A86" s="612"/>
      <c r="B86" s="612"/>
      <c r="C86" s="612"/>
      <c r="D86" s="612"/>
      <c r="E86" s="612"/>
      <c r="F86" s="612"/>
      <c r="G86" s="612"/>
      <c r="H86" s="612"/>
      <c r="I86" s="612"/>
      <c r="J86" s="612"/>
      <c r="K86" s="612"/>
      <c r="L86" s="612"/>
      <c r="N86" s="17"/>
      <c r="O86" s="17"/>
      <c r="P86" s="17"/>
      <c r="Q86" s="17"/>
      <c r="R86" s="17"/>
      <c r="S86" s="17"/>
      <c r="T86" s="17"/>
      <c r="U86" s="17"/>
      <c r="V86" s="17"/>
    </row>
    <row r="87" spans="1:22" s="3" customFormat="1">
      <c r="A87" s="612"/>
      <c r="B87" s="612"/>
      <c r="C87" s="612"/>
      <c r="D87" s="612"/>
      <c r="E87" s="612"/>
      <c r="F87" s="612"/>
      <c r="G87" s="612"/>
      <c r="H87" s="612"/>
      <c r="I87" s="612"/>
      <c r="J87" s="612"/>
      <c r="K87" s="612"/>
      <c r="L87" s="612"/>
      <c r="N87" s="17"/>
      <c r="O87" s="17"/>
      <c r="P87" s="17"/>
      <c r="Q87" s="17"/>
      <c r="R87" s="17"/>
      <c r="S87" s="17"/>
      <c r="T87" s="17"/>
      <c r="U87" s="17"/>
      <c r="V87" s="17"/>
    </row>
    <row r="88" spans="1:22" s="3" customFormat="1">
      <c r="A88" s="612"/>
      <c r="B88" s="612"/>
      <c r="C88" s="612"/>
      <c r="D88" s="612"/>
      <c r="E88" s="612"/>
      <c r="F88" s="612"/>
      <c r="G88" s="612"/>
      <c r="H88" s="612"/>
      <c r="I88" s="612"/>
      <c r="J88" s="612"/>
      <c r="K88" s="612"/>
      <c r="L88" s="612"/>
      <c r="N88" s="17"/>
      <c r="O88" s="17"/>
      <c r="P88" s="17"/>
      <c r="Q88" s="17"/>
      <c r="R88" s="17"/>
      <c r="S88" s="17"/>
      <c r="T88" s="17"/>
      <c r="U88" s="17"/>
      <c r="V88" s="17"/>
    </row>
    <row r="89" spans="1:22" s="3" customFormat="1">
      <c r="A89" s="612"/>
      <c r="B89" s="612"/>
      <c r="C89" s="612"/>
      <c r="D89" s="612"/>
      <c r="E89" s="612"/>
      <c r="F89" s="612"/>
      <c r="G89" s="612"/>
      <c r="H89" s="612"/>
      <c r="I89" s="612"/>
      <c r="J89" s="612"/>
      <c r="K89" s="612"/>
      <c r="L89" s="612"/>
      <c r="N89" s="17"/>
      <c r="O89" s="17"/>
      <c r="P89" s="17"/>
      <c r="Q89" s="17"/>
      <c r="R89" s="17"/>
      <c r="S89" s="17"/>
      <c r="T89" s="17"/>
      <c r="U89" s="17"/>
      <c r="V89" s="17"/>
    </row>
    <row r="90" spans="1:22" s="8" customFormat="1" ht="14.1" customHeight="1">
      <c r="A90" s="13"/>
      <c r="B90" s="13"/>
      <c r="C90" s="13"/>
      <c r="D90" s="13"/>
      <c r="E90" s="13"/>
      <c r="F90" s="13"/>
      <c r="G90" s="13"/>
      <c r="H90" s="13"/>
      <c r="I90" s="331"/>
      <c r="J90" s="13"/>
      <c r="K90" s="13"/>
      <c r="L90" s="13"/>
      <c r="N90" s="16"/>
      <c r="O90" s="16"/>
      <c r="P90" s="16"/>
      <c r="Q90" s="16"/>
      <c r="R90" s="16"/>
      <c r="S90" s="16"/>
      <c r="T90" s="16"/>
      <c r="U90" s="16"/>
      <c r="V90" s="16"/>
    </row>
    <row r="91" spans="1:22" s="8" customFormat="1" ht="14.1" customHeight="1">
      <c r="A91" s="13"/>
      <c r="B91" s="13"/>
      <c r="C91" s="13"/>
      <c r="D91" s="13"/>
      <c r="E91" s="13"/>
      <c r="F91" s="13"/>
      <c r="G91" s="13"/>
      <c r="H91" s="13"/>
      <c r="I91" s="331"/>
      <c r="J91" s="13"/>
      <c r="K91" s="13"/>
      <c r="L91" s="13"/>
      <c r="N91" s="16"/>
      <c r="O91" s="16"/>
      <c r="P91" s="16"/>
      <c r="Q91" s="16"/>
      <c r="R91" s="16"/>
      <c r="S91" s="16"/>
      <c r="T91" s="16"/>
      <c r="U91" s="16"/>
      <c r="V91" s="16"/>
    </row>
    <row r="92" spans="1:22" s="8" customFormat="1" ht="14.1" customHeight="1">
      <c r="A92" s="13"/>
      <c r="B92" s="13"/>
      <c r="C92" s="13"/>
      <c r="D92" s="13"/>
      <c r="E92" s="13"/>
      <c r="F92" s="13"/>
      <c r="G92" s="13"/>
      <c r="H92" s="13"/>
      <c r="I92" s="331"/>
      <c r="J92" s="13"/>
      <c r="K92" s="13"/>
      <c r="L92" s="13"/>
      <c r="N92" s="16"/>
      <c r="O92" s="16"/>
      <c r="P92" s="16"/>
      <c r="Q92" s="16"/>
      <c r="R92" s="16"/>
      <c r="S92" s="16"/>
      <c r="T92" s="16"/>
      <c r="U92" s="16"/>
      <c r="V92" s="16"/>
    </row>
    <row r="93" spans="1:22" s="8" customFormat="1" ht="14.1" customHeight="1">
      <c r="A93" s="13"/>
      <c r="B93" s="13"/>
      <c r="C93" s="13"/>
      <c r="D93" s="13"/>
      <c r="E93" s="13"/>
      <c r="F93" s="13"/>
      <c r="G93" s="13"/>
      <c r="H93" s="13"/>
      <c r="I93" s="331"/>
      <c r="J93" s="13"/>
      <c r="K93" s="13"/>
      <c r="L93" s="13"/>
      <c r="N93" s="16"/>
      <c r="O93" s="16"/>
      <c r="P93" s="16"/>
      <c r="Q93" s="16"/>
      <c r="R93" s="16"/>
      <c r="S93" s="16"/>
      <c r="T93" s="16"/>
      <c r="U93" s="16"/>
      <c r="V93" s="16"/>
    </row>
    <row r="94" spans="1:22" s="8" customFormat="1" ht="14.1" customHeight="1">
      <c r="A94" s="615" t="s">
        <v>438</v>
      </c>
      <c r="B94" s="615"/>
      <c r="C94" s="615"/>
      <c r="D94" s="615"/>
      <c r="E94" s="615"/>
      <c r="F94" s="615"/>
      <c r="G94" s="615"/>
      <c r="H94" s="615"/>
      <c r="I94" s="615"/>
      <c r="J94" s="615"/>
      <c r="K94" s="615"/>
      <c r="L94" s="615"/>
      <c r="N94" s="16"/>
      <c r="O94" s="16"/>
      <c r="P94" s="16"/>
      <c r="Q94" s="16"/>
      <c r="R94" s="16"/>
      <c r="S94" s="16"/>
      <c r="T94" s="16"/>
      <c r="U94" s="16"/>
      <c r="V94" s="16"/>
    </row>
    <row r="95" spans="1:22" s="3" customFormat="1" ht="18" customHeight="1" thickBot="1">
      <c r="A95" s="600" t="s">
        <v>25</v>
      </c>
      <c r="B95" s="600"/>
      <c r="C95" s="600"/>
      <c r="D95" s="600"/>
      <c r="E95" s="600"/>
      <c r="F95" s="600"/>
      <c r="G95" s="600"/>
      <c r="H95" s="600"/>
      <c r="I95" s="600"/>
      <c r="J95" s="600"/>
      <c r="K95" s="600"/>
      <c r="L95" s="600"/>
      <c r="N95" s="17"/>
      <c r="O95" s="17"/>
      <c r="P95" s="17"/>
      <c r="Q95" s="17"/>
      <c r="R95" s="17"/>
      <c r="S95" s="17"/>
      <c r="T95" s="17"/>
      <c r="U95" s="17"/>
      <c r="V95" s="17"/>
    </row>
    <row r="96" spans="1:22" s="22" customFormat="1" ht="14.1" customHeight="1" thickBot="1">
      <c r="A96" s="591" t="s">
        <v>158</v>
      </c>
      <c r="B96" s="592"/>
      <c r="C96" s="298" t="s">
        <v>27</v>
      </c>
      <c r="D96" s="592" t="s">
        <v>159</v>
      </c>
      <c r="E96" s="592"/>
      <c r="F96" s="592"/>
      <c r="G96" s="592"/>
      <c r="H96" s="592"/>
      <c r="I96" s="298" t="s">
        <v>28</v>
      </c>
      <c r="J96" s="298" t="s">
        <v>161</v>
      </c>
      <c r="K96" s="298" t="s">
        <v>15</v>
      </c>
      <c r="L96" s="299" t="s">
        <v>160</v>
      </c>
      <c r="M96" s="16"/>
      <c r="N96" s="25"/>
      <c r="O96" s="25"/>
      <c r="P96" s="25"/>
      <c r="Q96" s="25"/>
      <c r="R96" s="25"/>
      <c r="S96" s="25"/>
      <c r="T96" s="25"/>
      <c r="U96" s="25"/>
      <c r="V96" s="25"/>
    </row>
    <row r="97" spans="1:22" s="22" customFormat="1" ht="14.1" customHeight="1">
      <c r="A97" s="598" t="s">
        <v>32</v>
      </c>
      <c r="B97" s="599"/>
      <c r="C97" s="295"/>
      <c r="D97" s="593" t="s">
        <v>117</v>
      </c>
      <c r="E97" s="594"/>
      <c r="F97" s="594"/>
      <c r="G97" s="594"/>
      <c r="H97" s="595"/>
      <c r="I97" s="330"/>
      <c r="J97" s="296" t="s">
        <v>162</v>
      </c>
      <c r="K97" s="297">
        <v>2</v>
      </c>
      <c r="L97" s="300">
        <f>SUM(I97*K97)</f>
        <v>0</v>
      </c>
      <c r="N97" s="25"/>
      <c r="O97" s="25"/>
      <c r="P97" s="25"/>
      <c r="Q97" s="25"/>
      <c r="R97" s="25"/>
      <c r="S97" s="25"/>
      <c r="T97" s="25"/>
      <c r="U97" s="25"/>
      <c r="V97" s="25"/>
    </row>
    <row r="98" spans="1:22" s="22" customFormat="1" ht="14.1" customHeight="1">
      <c r="A98" s="602"/>
      <c r="B98" s="603"/>
      <c r="C98" s="23"/>
      <c r="D98" s="588" t="s">
        <v>118</v>
      </c>
      <c r="E98" s="589"/>
      <c r="F98" s="589"/>
      <c r="G98" s="589"/>
      <c r="H98" s="590"/>
      <c r="I98" s="329"/>
      <c r="J98" s="15" t="s">
        <v>162</v>
      </c>
      <c r="K98" s="24">
        <v>0.5</v>
      </c>
      <c r="L98" s="301">
        <f t="shared" ref="L98:L144" si="2">SUM(I98*K98)</f>
        <v>0</v>
      </c>
      <c r="N98" s="25"/>
      <c r="O98" s="25"/>
      <c r="P98" s="25"/>
      <c r="Q98" s="25"/>
      <c r="R98" s="25"/>
      <c r="S98" s="25"/>
      <c r="T98" s="25"/>
      <c r="U98" s="25"/>
      <c r="V98" s="25"/>
    </row>
    <row r="99" spans="1:22" s="22" customFormat="1" ht="14.1" customHeight="1">
      <c r="A99" s="604" t="s">
        <v>39</v>
      </c>
      <c r="B99" s="605"/>
      <c r="C99" s="23"/>
      <c r="D99" s="588" t="s">
        <v>119</v>
      </c>
      <c r="E99" s="589"/>
      <c r="F99" s="589"/>
      <c r="G99" s="589"/>
      <c r="H99" s="590"/>
      <c r="I99" s="329"/>
      <c r="J99" s="15" t="s">
        <v>162</v>
      </c>
      <c r="K99" s="24">
        <v>7</v>
      </c>
      <c r="L99" s="301">
        <f t="shared" si="2"/>
        <v>0</v>
      </c>
      <c r="N99" s="25"/>
      <c r="O99" s="25"/>
      <c r="P99" s="25"/>
      <c r="Q99" s="25"/>
      <c r="R99" s="25"/>
      <c r="S99" s="25"/>
      <c r="T99" s="25"/>
      <c r="U99" s="25"/>
      <c r="V99" s="25"/>
    </row>
    <row r="100" spans="1:22" s="22" customFormat="1" ht="14.1" customHeight="1">
      <c r="A100" s="598"/>
      <c r="B100" s="599"/>
      <c r="C100" s="23"/>
      <c r="D100" s="588" t="s">
        <v>120</v>
      </c>
      <c r="E100" s="589"/>
      <c r="F100" s="589"/>
      <c r="G100" s="589"/>
      <c r="H100" s="590"/>
      <c r="I100" s="329"/>
      <c r="J100" s="15" t="s">
        <v>162</v>
      </c>
      <c r="K100" s="24">
        <v>6</v>
      </c>
      <c r="L100" s="301">
        <f t="shared" si="2"/>
        <v>0</v>
      </c>
      <c r="N100" s="25"/>
      <c r="O100" s="25"/>
      <c r="P100" s="25"/>
      <c r="Q100" s="25"/>
      <c r="R100" s="25"/>
      <c r="S100" s="25"/>
      <c r="T100" s="25"/>
      <c r="U100" s="25"/>
      <c r="V100" s="25"/>
    </row>
    <row r="101" spans="1:22" s="22" customFormat="1" ht="14.1" customHeight="1">
      <c r="A101" s="598"/>
      <c r="B101" s="599"/>
      <c r="C101" s="23"/>
      <c r="D101" s="588" t="s">
        <v>121</v>
      </c>
      <c r="E101" s="589"/>
      <c r="F101" s="589"/>
      <c r="G101" s="589"/>
      <c r="H101" s="590"/>
      <c r="I101" s="329"/>
      <c r="J101" s="15" t="s">
        <v>162</v>
      </c>
      <c r="K101" s="24">
        <v>4</v>
      </c>
      <c r="L101" s="301">
        <f t="shared" si="2"/>
        <v>0</v>
      </c>
      <c r="N101" s="25"/>
      <c r="O101" s="25"/>
      <c r="P101" s="25"/>
      <c r="Q101" s="25"/>
      <c r="R101" s="25"/>
      <c r="S101" s="25"/>
      <c r="T101" s="25"/>
      <c r="U101" s="25"/>
      <c r="V101" s="25"/>
    </row>
    <row r="102" spans="1:22" s="22" customFormat="1" ht="14.1" customHeight="1">
      <c r="A102" s="602"/>
      <c r="B102" s="603"/>
      <c r="C102" s="23"/>
      <c r="D102" s="588" t="s">
        <v>122</v>
      </c>
      <c r="E102" s="589"/>
      <c r="F102" s="589"/>
      <c r="G102" s="589"/>
      <c r="H102" s="590"/>
      <c r="I102" s="329"/>
      <c r="J102" s="15" t="s">
        <v>162</v>
      </c>
      <c r="K102" s="24">
        <v>2</v>
      </c>
      <c r="L102" s="301">
        <f t="shared" si="2"/>
        <v>0</v>
      </c>
      <c r="N102" s="25"/>
      <c r="O102" s="25"/>
      <c r="P102" s="25"/>
      <c r="Q102" s="25"/>
      <c r="R102" s="25"/>
      <c r="S102" s="25"/>
      <c r="T102" s="25"/>
      <c r="U102" s="25"/>
      <c r="V102" s="25"/>
    </row>
    <row r="103" spans="1:22" s="22" customFormat="1" ht="14.1" customHeight="1">
      <c r="A103" s="604" t="s">
        <v>40</v>
      </c>
      <c r="B103" s="605"/>
      <c r="C103" s="23"/>
      <c r="D103" s="588" t="s">
        <v>123</v>
      </c>
      <c r="E103" s="589"/>
      <c r="F103" s="589"/>
      <c r="G103" s="589"/>
      <c r="H103" s="590"/>
      <c r="I103" s="329"/>
      <c r="J103" s="15" t="s">
        <v>162</v>
      </c>
      <c r="K103" s="24">
        <v>1.35</v>
      </c>
      <c r="L103" s="301">
        <f t="shared" si="2"/>
        <v>0</v>
      </c>
      <c r="N103" s="25"/>
      <c r="O103" s="25"/>
      <c r="P103" s="25"/>
      <c r="Q103" s="25"/>
      <c r="R103" s="25"/>
      <c r="S103" s="25"/>
      <c r="T103" s="25"/>
      <c r="U103" s="25"/>
      <c r="V103" s="25"/>
    </row>
    <row r="104" spans="1:22" s="22" customFormat="1" ht="14.1" customHeight="1">
      <c r="A104" s="602"/>
      <c r="B104" s="603"/>
      <c r="C104" s="23"/>
      <c r="D104" s="588" t="s">
        <v>124</v>
      </c>
      <c r="E104" s="589"/>
      <c r="F104" s="589"/>
      <c r="G104" s="589"/>
      <c r="H104" s="590"/>
      <c r="I104" s="329"/>
      <c r="J104" s="15" t="s">
        <v>162</v>
      </c>
      <c r="K104" s="24">
        <v>2</v>
      </c>
      <c r="L104" s="301">
        <f t="shared" si="2"/>
        <v>0</v>
      </c>
      <c r="N104" s="25"/>
      <c r="O104" s="25"/>
      <c r="P104" s="25"/>
      <c r="Q104" s="25"/>
      <c r="R104" s="25"/>
      <c r="S104" s="25"/>
      <c r="T104" s="25"/>
      <c r="U104" s="25"/>
      <c r="V104" s="25"/>
    </row>
    <row r="105" spans="1:22" s="22" customFormat="1" ht="14.1" customHeight="1">
      <c r="A105" s="604" t="s">
        <v>41</v>
      </c>
      <c r="B105" s="605"/>
      <c r="C105" s="23"/>
      <c r="D105" s="588" t="s">
        <v>125</v>
      </c>
      <c r="E105" s="589"/>
      <c r="F105" s="589"/>
      <c r="G105" s="589"/>
      <c r="H105" s="590"/>
      <c r="I105" s="329"/>
      <c r="J105" s="15" t="s">
        <v>162</v>
      </c>
      <c r="K105" s="24">
        <v>10</v>
      </c>
      <c r="L105" s="301">
        <f t="shared" si="2"/>
        <v>0</v>
      </c>
      <c r="N105" s="25"/>
      <c r="O105" s="25"/>
      <c r="P105" s="25"/>
      <c r="Q105" s="25"/>
      <c r="R105" s="25"/>
      <c r="S105" s="25"/>
      <c r="T105" s="25"/>
      <c r="U105" s="25"/>
      <c r="V105" s="25"/>
    </row>
    <row r="106" spans="1:22" s="22" customFormat="1" ht="14.1" customHeight="1">
      <c r="A106" s="598"/>
      <c r="B106" s="599"/>
      <c r="C106" s="23"/>
      <c r="D106" s="588" t="s">
        <v>126</v>
      </c>
      <c r="E106" s="589"/>
      <c r="F106" s="589"/>
      <c r="G106" s="589"/>
      <c r="H106" s="590"/>
      <c r="I106" s="329"/>
      <c r="J106" s="15" t="s">
        <v>162</v>
      </c>
      <c r="K106" s="24">
        <v>15</v>
      </c>
      <c r="L106" s="301">
        <f t="shared" si="2"/>
        <v>0</v>
      </c>
      <c r="N106" s="25"/>
      <c r="O106" s="25"/>
      <c r="P106" s="25"/>
      <c r="Q106" s="25"/>
      <c r="R106" s="25"/>
      <c r="S106" s="25"/>
      <c r="T106" s="25"/>
      <c r="U106" s="25"/>
      <c r="V106" s="25"/>
    </row>
    <row r="107" spans="1:22" s="22" customFormat="1" ht="14.1" customHeight="1">
      <c r="A107" s="598"/>
      <c r="B107" s="599"/>
      <c r="C107" s="23"/>
      <c r="D107" s="588" t="s">
        <v>127</v>
      </c>
      <c r="E107" s="589"/>
      <c r="F107" s="589"/>
      <c r="G107" s="589"/>
      <c r="H107" s="590"/>
      <c r="I107" s="329"/>
      <c r="J107" s="15" t="s">
        <v>162</v>
      </c>
      <c r="K107" s="24">
        <v>8</v>
      </c>
      <c r="L107" s="301">
        <f t="shared" si="2"/>
        <v>0</v>
      </c>
      <c r="N107" s="25"/>
      <c r="O107" s="25"/>
      <c r="P107" s="25"/>
      <c r="Q107" s="25"/>
      <c r="R107" s="25"/>
      <c r="S107" s="25"/>
      <c r="T107" s="25"/>
      <c r="U107" s="25"/>
      <c r="V107" s="25"/>
    </row>
    <row r="108" spans="1:22" s="22" customFormat="1" ht="14.1" customHeight="1">
      <c r="A108" s="598"/>
      <c r="B108" s="599"/>
      <c r="C108" s="23"/>
      <c r="D108" s="588" t="s">
        <v>0</v>
      </c>
      <c r="E108" s="589"/>
      <c r="F108" s="589"/>
      <c r="G108" s="589"/>
      <c r="H108" s="590"/>
      <c r="I108" s="329"/>
      <c r="J108" s="15" t="s">
        <v>162</v>
      </c>
      <c r="K108" s="24">
        <v>9</v>
      </c>
      <c r="L108" s="301">
        <f t="shared" si="2"/>
        <v>0</v>
      </c>
      <c r="N108" s="25"/>
      <c r="O108" s="25"/>
      <c r="P108" s="25"/>
      <c r="Q108" s="25"/>
      <c r="R108" s="25"/>
      <c r="S108" s="25"/>
      <c r="T108" s="25"/>
      <c r="U108" s="25"/>
      <c r="V108" s="25"/>
    </row>
    <row r="109" spans="1:22" s="22" customFormat="1" ht="14.1" customHeight="1">
      <c r="A109" s="598"/>
      <c r="B109" s="599"/>
      <c r="C109" s="23"/>
      <c r="D109" s="588" t="s">
        <v>128</v>
      </c>
      <c r="E109" s="589"/>
      <c r="F109" s="589"/>
      <c r="G109" s="589"/>
      <c r="H109" s="590"/>
      <c r="I109" s="329"/>
      <c r="J109" s="15" t="s">
        <v>162</v>
      </c>
      <c r="K109" s="24">
        <v>16</v>
      </c>
      <c r="L109" s="301">
        <f t="shared" si="2"/>
        <v>0</v>
      </c>
      <c r="N109" s="25"/>
      <c r="O109" s="25"/>
      <c r="P109" s="25"/>
      <c r="Q109" s="25"/>
      <c r="R109" s="25"/>
      <c r="S109" s="25"/>
      <c r="T109" s="25"/>
      <c r="U109" s="25"/>
      <c r="V109" s="25"/>
    </row>
    <row r="110" spans="1:22" s="22" customFormat="1" ht="14.1" customHeight="1" thickBot="1">
      <c r="A110" s="598"/>
      <c r="B110" s="599"/>
      <c r="C110" s="33"/>
      <c r="D110" s="617" t="s">
        <v>113</v>
      </c>
      <c r="E110" s="618"/>
      <c r="F110" s="618"/>
      <c r="G110" s="618"/>
      <c r="H110" s="619"/>
      <c r="I110" s="332"/>
      <c r="J110" s="34" t="s">
        <v>162</v>
      </c>
      <c r="K110" s="35">
        <v>8</v>
      </c>
      <c r="L110" s="302">
        <f t="shared" si="2"/>
        <v>0</v>
      </c>
      <c r="N110" s="25"/>
      <c r="O110" s="25"/>
      <c r="P110" s="25"/>
      <c r="Q110" s="25"/>
      <c r="R110" s="25"/>
      <c r="S110" s="25"/>
      <c r="T110" s="25"/>
      <c r="U110" s="25"/>
      <c r="V110" s="25"/>
    </row>
    <row r="111" spans="1:22" s="22" customFormat="1" ht="14.1" customHeight="1" thickTop="1">
      <c r="A111" s="620" t="s">
        <v>221</v>
      </c>
      <c r="B111" s="621"/>
      <c r="C111" s="36"/>
      <c r="D111" s="622" t="s">
        <v>1</v>
      </c>
      <c r="E111" s="623"/>
      <c r="F111" s="623"/>
      <c r="G111" s="623"/>
      <c r="H111" s="624"/>
      <c r="I111" s="333"/>
      <c r="J111" s="37" t="s">
        <v>165</v>
      </c>
      <c r="K111" s="38">
        <v>12500</v>
      </c>
      <c r="L111" s="303">
        <f t="shared" si="2"/>
        <v>0</v>
      </c>
      <c r="N111" s="25"/>
      <c r="O111" s="25"/>
      <c r="P111" s="25"/>
      <c r="Q111" s="25"/>
      <c r="R111" s="25"/>
      <c r="S111" s="25"/>
      <c r="T111" s="25"/>
      <c r="U111" s="25"/>
      <c r="V111" s="25"/>
    </row>
    <row r="112" spans="1:22" s="22" customFormat="1" ht="14.1" customHeight="1">
      <c r="A112" s="596" t="s">
        <v>220</v>
      </c>
      <c r="B112" s="597"/>
      <c r="C112" s="23"/>
      <c r="D112" s="588" t="s">
        <v>2</v>
      </c>
      <c r="E112" s="589"/>
      <c r="F112" s="589"/>
      <c r="G112" s="589"/>
      <c r="H112" s="590"/>
      <c r="I112" s="329"/>
      <c r="J112" s="15" t="s">
        <v>165</v>
      </c>
      <c r="K112" s="24">
        <v>10500</v>
      </c>
      <c r="L112" s="301">
        <f t="shared" si="2"/>
        <v>0</v>
      </c>
      <c r="N112" s="25"/>
      <c r="O112" s="25"/>
      <c r="P112" s="25"/>
      <c r="Q112" s="25"/>
      <c r="R112" s="25"/>
      <c r="S112" s="25"/>
      <c r="T112" s="25"/>
      <c r="U112" s="25"/>
      <c r="V112" s="25"/>
    </row>
    <row r="113" spans="1:22" s="22" customFormat="1" ht="14.1" customHeight="1">
      <c r="A113" s="596"/>
      <c r="B113" s="597"/>
      <c r="C113" s="23"/>
      <c r="D113" s="588" t="s">
        <v>3</v>
      </c>
      <c r="E113" s="589"/>
      <c r="F113" s="589"/>
      <c r="G113" s="589"/>
      <c r="H113" s="590"/>
      <c r="I113" s="329"/>
      <c r="J113" s="15" t="s">
        <v>165</v>
      </c>
      <c r="K113" s="24">
        <v>8500</v>
      </c>
      <c r="L113" s="301">
        <f t="shared" si="2"/>
        <v>0</v>
      </c>
      <c r="N113" s="25"/>
      <c r="O113" s="25"/>
      <c r="P113" s="25"/>
      <c r="Q113" s="25"/>
      <c r="R113" s="25"/>
      <c r="S113" s="25"/>
      <c r="T113" s="25"/>
      <c r="U113" s="25"/>
      <c r="V113" s="25"/>
    </row>
    <row r="114" spans="1:22" s="22" customFormat="1" ht="14.1" customHeight="1">
      <c r="A114" s="596"/>
      <c r="B114" s="597"/>
      <c r="C114" s="23"/>
      <c r="D114" s="588" t="s">
        <v>4</v>
      </c>
      <c r="E114" s="589"/>
      <c r="F114" s="589"/>
      <c r="G114" s="589"/>
      <c r="H114" s="590"/>
      <c r="I114" s="329"/>
      <c r="J114" s="15" t="s">
        <v>165</v>
      </c>
      <c r="K114" s="24">
        <v>6500</v>
      </c>
      <c r="L114" s="301">
        <f t="shared" si="2"/>
        <v>0</v>
      </c>
      <c r="N114" s="25"/>
      <c r="O114" s="25"/>
      <c r="P114" s="25"/>
      <c r="Q114" s="25"/>
      <c r="R114" s="25"/>
      <c r="S114" s="25"/>
      <c r="T114" s="25"/>
      <c r="U114" s="25"/>
      <c r="V114" s="25"/>
    </row>
    <row r="115" spans="1:22" s="22" customFormat="1" ht="14.1" customHeight="1">
      <c r="A115" s="613"/>
      <c r="B115" s="616"/>
      <c r="C115" s="23"/>
      <c r="D115" s="588" t="s">
        <v>129</v>
      </c>
      <c r="E115" s="589"/>
      <c r="F115" s="589"/>
      <c r="G115" s="589"/>
      <c r="H115" s="590"/>
      <c r="I115" s="329"/>
      <c r="J115" s="15" t="s">
        <v>165</v>
      </c>
      <c r="K115" s="24">
        <v>500</v>
      </c>
      <c r="L115" s="301">
        <f t="shared" si="2"/>
        <v>0</v>
      </c>
      <c r="N115" s="25"/>
      <c r="O115" s="25"/>
      <c r="P115" s="25"/>
      <c r="Q115" s="25"/>
      <c r="R115" s="25"/>
      <c r="S115" s="25"/>
      <c r="T115" s="25"/>
      <c r="U115" s="25"/>
      <c r="V115" s="25"/>
    </row>
    <row r="116" spans="1:22" s="22" customFormat="1" ht="14.1" customHeight="1">
      <c r="A116" s="604" t="s">
        <v>223</v>
      </c>
      <c r="B116" s="605"/>
      <c r="C116" s="23"/>
      <c r="D116" s="588" t="s">
        <v>130</v>
      </c>
      <c r="E116" s="589"/>
      <c r="F116" s="589"/>
      <c r="G116" s="589"/>
      <c r="H116" s="590"/>
      <c r="I116" s="329"/>
      <c r="J116" s="15" t="s">
        <v>165</v>
      </c>
      <c r="K116" s="24">
        <v>12000</v>
      </c>
      <c r="L116" s="301">
        <f t="shared" si="2"/>
        <v>0</v>
      </c>
      <c r="N116" s="25"/>
      <c r="O116" s="25"/>
      <c r="P116" s="25"/>
      <c r="Q116" s="25"/>
      <c r="R116" s="25"/>
      <c r="S116" s="25"/>
      <c r="T116" s="25"/>
      <c r="U116" s="25"/>
      <c r="V116" s="25"/>
    </row>
    <row r="117" spans="1:22" s="22" customFormat="1" ht="14.1" customHeight="1">
      <c r="A117" s="596" t="s">
        <v>222</v>
      </c>
      <c r="B117" s="597"/>
      <c r="C117" s="23"/>
      <c r="D117" s="588" t="s">
        <v>344</v>
      </c>
      <c r="E117" s="589"/>
      <c r="F117" s="589"/>
      <c r="G117" s="589"/>
      <c r="H117" s="590"/>
      <c r="I117" s="329"/>
      <c r="J117" s="15" t="s">
        <v>165</v>
      </c>
      <c r="K117" s="24">
        <v>7000</v>
      </c>
      <c r="L117" s="301">
        <f t="shared" si="2"/>
        <v>0</v>
      </c>
      <c r="N117" s="25"/>
      <c r="O117" s="25"/>
      <c r="P117" s="25"/>
      <c r="Q117" s="25"/>
      <c r="R117" s="25"/>
      <c r="S117" s="25"/>
      <c r="T117" s="25"/>
      <c r="U117" s="25"/>
      <c r="V117" s="25"/>
    </row>
    <row r="118" spans="1:22" s="22" customFormat="1" ht="14.1" customHeight="1">
      <c r="A118" s="596"/>
      <c r="B118" s="597"/>
      <c r="C118" s="23"/>
      <c r="D118" s="588" t="s">
        <v>131</v>
      </c>
      <c r="E118" s="589"/>
      <c r="F118" s="589"/>
      <c r="G118" s="589"/>
      <c r="H118" s="590"/>
      <c r="I118" s="329"/>
      <c r="J118" s="15" t="s">
        <v>165</v>
      </c>
      <c r="K118" s="24">
        <v>4500</v>
      </c>
      <c r="L118" s="301">
        <f t="shared" si="2"/>
        <v>0</v>
      </c>
      <c r="N118" s="25"/>
      <c r="O118" s="25"/>
      <c r="P118" s="25"/>
      <c r="Q118" s="25"/>
      <c r="R118" s="25"/>
      <c r="S118" s="25"/>
      <c r="T118" s="25"/>
      <c r="U118" s="25"/>
      <c r="V118" s="25"/>
    </row>
    <row r="119" spans="1:22" s="22" customFormat="1" ht="14.1" customHeight="1">
      <c r="A119" s="613"/>
      <c r="B119" s="616"/>
      <c r="C119" s="23"/>
      <c r="D119" s="588" t="s">
        <v>132</v>
      </c>
      <c r="E119" s="589"/>
      <c r="F119" s="589"/>
      <c r="G119" s="589"/>
      <c r="H119" s="590"/>
      <c r="I119" s="329"/>
      <c r="J119" s="15" t="s">
        <v>165</v>
      </c>
      <c r="K119" s="24">
        <v>2000</v>
      </c>
      <c r="L119" s="301">
        <f t="shared" si="2"/>
        <v>0</v>
      </c>
      <c r="N119" s="25"/>
      <c r="O119" s="25"/>
      <c r="P119" s="25"/>
      <c r="Q119" s="25"/>
      <c r="R119" s="25"/>
      <c r="S119" s="25"/>
      <c r="T119" s="25"/>
      <c r="U119" s="25"/>
      <c r="V119" s="25"/>
    </row>
    <row r="120" spans="1:22" s="22" customFormat="1" ht="14.1" customHeight="1">
      <c r="A120" s="604" t="s">
        <v>224</v>
      </c>
      <c r="B120" s="605"/>
      <c r="C120" s="23"/>
      <c r="D120" s="588" t="s">
        <v>133</v>
      </c>
      <c r="E120" s="589"/>
      <c r="F120" s="589"/>
      <c r="G120" s="589"/>
      <c r="H120" s="590"/>
      <c r="I120" s="329"/>
      <c r="J120" s="15" t="s">
        <v>170</v>
      </c>
      <c r="K120" s="24">
        <v>185</v>
      </c>
      <c r="L120" s="301">
        <f t="shared" si="2"/>
        <v>0</v>
      </c>
      <c r="N120" s="25"/>
      <c r="O120" s="25"/>
      <c r="P120" s="25"/>
      <c r="Q120" s="25"/>
      <c r="R120" s="25"/>
      <c r="S120" s="25"/>
      <c r="T120" s="25"/>
      <c r="U120" s="25"/>
      <c r="V120" s="25"/>
    </row>
    <row r="121" spans="1:22" s="22" customFormat="1" ht="14.1" customHeight="1">
      <c r="A121" s="598"/>
      <c r="B121" s="599"/>
      <c r="C121" s="23"/>
      <c r="D121" s="588" t="s">
        <v>134</v>
      </c>
      <c r="E121" s="589"/>
      <c r="F121" s="589"/>
      <c r="G121" s="589"/>
      <c r="H121" s="590"/>
      <c r="I121" s="329"/>
      <c r="J121" s="15" t="s">
        <v>162</v>
      </c>
      <c r="K121" s="24">
        <v>65</v>
      </c>
      <c r="L121" s="301">
        <f t="shared" si="2"/>
        <v>0</v>
      </c>
      <c r="N121" s="25"/>
      <c r="O121" s="25"/>
      <c r="P121" s="25"/>
      <c r="Q121" s="25"/>
      <c r="R121" s="25"/>
      <c r="S121" s="25"/>
      <c r="T121" s="25"/>
      <c r="U121" s="25"/>
      <c r="V121" s="25"/>
    </row>
    <row r="122" spans="1:22" s="22" customFormat="1" ht="14.1" customHeight="1">
      <c r="A122" s="598"/>
      <c r="B122" s="599"/>
      <c r="C122" s="23"/>
      <c r="D122" s="588" t="s">
        <v>135</v>
      </c>
      <c r="E122" s="589"/>
      <c r="F122" s="589"/>
      <c r="G122" s="589"/>
      <c r="H122" s="590"/>
      <c r="I122" s="329"/>
      <c r="J122" s="15" t="s">
        <v>165</v>
      </c>
      <c r="K122" s="24">
        <v>350</v>
      </c>
      <c r="L122" s="301">
        <f t="shared" si="2"/>
        <v>0</v>
      </c>
      <c r="N122" s="25"/>
      <c r="O122" s="25"/>
      <c r="P122" s="25"/>
      <c r="Q122" s="25"/>
      <c r="R122" s="25"/>
      <c r="S122" s="25"/>
      <c r="T122" s="25"/>
      <c r="U122" s="25"/>
      <c r="V122" s="25"/>
    </row>
    <row r="123" spans="1:22" s="22" customFormat="1" ht="14.1" customHeight="1">
      <c r="A123" s="598"/>
      <c r="B123" s="599"/>
      <c r="C123" s="23"/>
      <c r="D123" s="588" t="s">
        <v>136</v>
      </c>
      <c r="E123" s="589"/>
      <c r="F123" s="589"/>
      <c r="G123" s="589"/>
      <c r="H123" s="590"/>
      <c r="I123" s="329"/>
      <c r="J123" s="15" t="s">
        <v>165</v>
      </c>
      <c r="K123" s="24">
        <v>350</v>
      </c>
      <c r="L123" s="301">
        <f t="shared" si="2"/>
        <v>0</v>
      </c>
      <c r="N123" s="25"/>
      <c r="O123" s="25"/>
      <c r="P123" s="25"/>
      <c r="Q123" s="25"/>
      <c r="R123" s="25"/>
      <c r="S123" s="25"/>
      <c r="T123" s="25"/>
      <c r="U123" s="25"/>
      <c r="V123" s="25"/>
    </row>
    <row r="124" spans="1:22" s="22" customFormat="1" ht="14.1" customHeight="1">
      <c r="A124" s="598"/>
      <c r="B124" s="599"/>
      <c r="C124" s="23"/>
      <c r="D124" s="588" t="s">
        <v>137</v>
      </c>
      <c r="E124" s="589"/>
      <c r="F124" s="589"/>
      <c r="G124" s="589"/>
      <c r="H124" s="590"/>
      <c r="I124" s="329"/>
      <c r="J124" s="15" t="s">
        <v>165</v>
      </c>
      <c r="K124" s="24">
        <v>250</v>
      </c>
      <c r="L124" s="301">
        <f t="shared" si="2"/>
        <v>0</v>
      </c>
      <c r="N124" s="25"/>
      <c r="O124" s="25"/>
      <c r="P124" s="25"/>
      <c r="Q124" s="25"/>
      <c r="R124" s="25"/>
      <c r="S124" s="25"/>
      <c r="T124" s="25"/>
      <c r="U124" s="25"/>
      <c r="V124" s="25"/>
    </row>
    <row r="125" spans="1:22" s="22" customFormat="1" ht="14.1" customHeight="1">
      <c r="A125" s="598"/>
      <c r="B125" s="599"/>
      <c r="C125" s="23"/>
      <c r="D125" s="588" t="s">
        <v>138</v>
      </c>
      <c r="E125" s="589"/>
      <c r="F125" s="589"/>
      <c r="G125" s="589"/>
      <c r="H125" s="590"/>
      <c r="I125" s="329"/>
      <c r="J125" s="15" t="s">
        <v>165</v>
      </c>
      <c r="K125" s="24">
        <v>1200</v>
      </c>
      <c r="L125" s="301">
        <f t="shared" si="2"/>
        <v>0</v>
      </c>
      <c r="N125" s="25"/>
      <c r="O125" s="25"/>
      <c r="P125" s="25"/>
      <c r="Q125" s="25"/>
      <c r="R125" s="25"/>
      <c r="S125" s="25"/>
      <c r="T125" s="25"/>
      <c r="U125" s="25"/>
      <c r="V125" s="25"/>
    </row>
    <row r="126" spans="1:22" s="22" customFormat="1" ht="14.1" customHeight="1">
      <c r="A126" s="598"/>
      <c r="B126" s="599"/>
      <c r="C126" s="23"/>
      <c r="D126" s="588" t="s">
        <v>139</v>
      </c>
      <c r="E126" s="589"/>
      <c r="F126" s="589"/>
      <c r="G126" s="589"/>
      <c r="H126" s="590"/>
      <c r="I126" s="329"/>
      <c r="J126" s="15" t="s">
        <v>165</v>
      </c>
      <c r="K126" s="24">
        <v>850</v>
      </c>
      <c r="L126" s="301">
        <f t="shared" si="2"/>
        <v>0</v>
      </c>
      <c r="N126" s="25"/>
      <c r="O126" s="25"/>
      <c r="P126" s="25"/>
      <c r="Q126" s="25"/>
      <c r="R126" s="25"/>
      <c r="S126" s="25"/>
      <c r="T126" s="25"/>
      <c r="U126" s="25"/>
      <c r="V126" s="25"/>
    </row>
    <row r="127" spans="1:22" s="22" customFormat="1" ht="14.1" customHeight="1">
      <c r="A127" s="598"/>
      <c r="B127" s="599"/>
      <c r="C127" s="23"/>
      <c r="D127" s="588" t="s">
        <v>140</v>
      </c>
      <c r="E127" s="589"/>
      <c r="F127" s="589"/>
      <c r="G127" s="589"/>
      <c r="H127" s="590"/>
      <c r="I127" s="329"/>
      <c r="J127" s="15" t="s">
        <v>165</v>
      </c>
      <c r="K127" s="24">
        <v>400</v>
      </c>
      <c r="L127" s="301">
        <f t="shared" si="2"/>
        <v>0</v>
      </c>
      <c r="N127" s="25"/>
      <c r="O127" s="25"/>
      <c r="P127" s="25"/>
      <c r="Q127" s="25"/>
      <c r="R127" s="25"/>
      <c r="S127" s="25"/>
      <c r="T127" s="25"/>
      <c r="U127" s="25"/>
      <c r="V127" s="25"/>
    </row>
    <row r="128" spans="1:22" s="22" customFormat="1" ht="14.1" customHeight="1">
      <c r="A128" s="598"/>
      <c r="B128" s="599"/>
      <c r="C128" s="23"/>
      <c r="D128" s="588" t="s">
        <v>141</v>
      </c>
      <c r="E128" s="589"/>
      <c r="F128" s="589"/>
      <c r="G128" s="589"/>
      <c r="H128" s="590"/>
      <c r="I128" s="326"/>
      <c r="J128" s="15" t="s">
        <v>165</v>
      </c>
      <c r="K128" s="24">
        <v>600</v>
      </c>
      <c r="L128" s="301">
        <f t="shared" si="2"/>
        <v>0</v>
      </c>
      <c r="N128" s="25"/>
      <c r="O128" s="25"/>
      <c r="P128" s="25"/>
      <c r="Q128" s="25"/>
      <c r="R128" s="25"/>
      <c r="S128" s="25"/>
      <c r="T128" s="25"/>
      <c r="U128" s="25"/>
      <c r="V128" s="25"/>
    </row>
    <row r="129" spans="1:22" s="22" customFormat="1" ht="14.1" customHeight="1" thickBot="1">
      <c r="A129" s="625"/>
      <c r="B129" s="626"/>
      <c r="C129" s="39"/>
      <c r="D129" s="627" t="s">
        <v>142</v>
      </c>
      <c r="E129" s="628"/>
      <c r="F129" s="628"/>
      <c r="G129" s="628"/>
      <c r="H129" s="629"/>
      <c r="I129" s="334"/>
      <c r="J129" s="40" t="s">
        <v>165</v>
      </c>
      <c r="K129" s="41">
        <v>350</v>
      </c>
      <c r="L129" s="304">
        <f t="shared" si="2"/>
        <v>0</v>
      </c>
      <c r="N129" s="25"/>
      <c r="O129" s="25"/>
      <c r="P129" s="25"/>
      <c r="Q129" s="25"/>
      <c r="R129" s="25"/>
      <c r="S129" s="25"/>
      <c r="T129" s="25"/>
      <c r="U129" s="25"/>
      <c r="V129" s="25"/>
    </row>
    <row r="130" spans="1:22" s="22" customFormat="1" ht="14.1" customHeight="1" thickTop="1">
      <c r="A130" s="630" t="s">
        <v>226</v>
      </c>
      <c r="B130" s="631"/>
      <c r="C130" s="36"/>
      <c r="D130" s="622" t="s">
        <v>143</v>
      </c>
      <c r="E130" s="623"/>
      <c r="F130" s="623"/>
      <c r="G130" s="623"/>
      <c r="H130" s="624"/>
      <c r="I130" s="333"/>
      <c r="J130" s="37" t="s">
        <v>165</v>
      </c>
      <c r="K130" s="38">
        <v>9000</v>
      </c>
      <c r="L130" s="303">
        <f t="shared" si="2"/>
        <v>0</v>
      </c>
      <c r="N130" s="25"/>
      <c r="O130" s="25"/>
      <c r="P130" s="25"/>
      <c r="Q130" s="25"/>
      <c r="R130" s="25"/>
      <c r="S130" s="25"/>
      <c r="T130" s="25"/>
      <c r="U130" s="25"/>
      <c r="V130" s="25"/>
    </row>
    <row r="131" spans="1:22" s="22" customFormat="1" ht="14.1" customHeight="1">
      <c r="A131" s="632" t="s">
        <v>225</v>
      </c>
      <c r="B131" s="633"/>
      <c r="C131" s="23"/>
      <c r="D131" s="588" t="s">
        <v>144</v>
      </c>
      <c r="E131" s="589"/>
      <c r="F131" s="589"/>
      <c r="G131" s="589"/>
      <c r="H131" s="590"/>
      <c r="I131" s="326"/>
      <c r="J131" s="15" t="s">
        <v>165</v>
      </c>
      <c r="K131" s="24">
        <v>5500</v>
      </c>
      <c r="L131" s="301">
        <f t="shared" si="2"/>
        <v>0</v>
      </c>
      <c r="N131" s="25"/>
      <c r="O131" s="25"/>
      <c r="P131" s="25"/>
      <c r="Q131" s="25"/>
      <c r="R131" s="25"/>
      <c r="S131" s="25"/>
      <c r="T131" s="25"/>
      <c r="U131" s="25"/>
      <c r="V131" s="25"/>
    </row>
    <row r="132" spans="1:22" s="22" customFormat="1" ht="14.1" customHeight="1">
      <c r="A132" s="632"/>
      <c r="B132" s="633"/>
      <c r="C132" s="23"/>
      <c r="D132" s="588" t="s">
        <v>145</v>
      </c>
      <c r="E132" s="589"/>
      <c r="F132" s="589"/>
      <c r="G132" s="589"/>
      <c r="H132" s="590"/>
      <c r="I132" s="326"/>
      <c r="J132" s="15" t="s">
        <v>165</v>
      </c>
      <c r="K132" s="24">
        <v>3000</v>
      </c>
      <c r="L132" s="301">
        <f t="shared" si="2"/>
        <v>0</v>
      </c>
      <c r="N132" s="25"/>
      <c r="O132" s="25"/>
      <c r="P132" s="25"/>
      <c r="Q132" s="25"/>
      <c r="R132" s="25"/>
      <c r="S132" s="25"/>
      <c r="T132" s="25"/>
      <c r="U132" s="25"/>
      <c r="V132" s="25"/>
    </row>
    <row r="133" spans="1:22" s="22" customFormat="1" ht="15.95" customHeight="1">
      <c r="A133" s="634"/>
      <c r="B133" s="635"/>
      <c r="C133" s="42"/>
      <c r="D133" s="43"/>
      <c r="E133" s="43"/>
      <c r="F133" s="43"/>
      <c r="G133" s="43"/>
      <c r="H133" s="43"/>
      <c r="I133" s="43"/>
      <c r="J133" s="43"/>
      <c r="K133" s="43"/>
      <c r="L133" s="305"/>
      <c r="N133" s="25"/>
      <c r="O133" s="25"/>
      <c r="P133" s="25"/>
      <c r="Q133" s="25"/>
      <c r="R133" s="25"/>
      <c r="S133" s="25"/>
      <c r="T133" s="25"/>
      <c r="U133" s="25"/>
      <c r="V133" s="25"/>
    </row>
    <row r="134" spans="1:22" s="22" customFormat="1" ht="14.1" customHeight="1">
      <c r="A134" s="604" t="s">
        <v>227</v>
      </c>
      <c r="B134" s="605"/>
      <c r="C134" s="23"/>
      <c r="D134" s="588" t="s">
        <v>146</v>
      </c>
      <c r="E134" s="589"/>
      <c r="F134" s="589"/>
      <c r="G134" s="589"/>
      <c r="H134" s="590"/>
      <c r="I134" s="329"/>
      <c r="J134" s="15" t="s">
        <v>165</v>
      </c>
      <c r="K134" s="24">
        <v>700</v>
      </c>
      <c r="L134" s="301">
        <f t="shared" si="2"/>
        <v>0</v>
      </c>
      <c r="N134" s="25"/>
      <c r="O134" s="25"/>
      <c r="P134" s="25"/>
      <c r="Q134" s="25"/>
      <c r="R134" s="25"/>
      <c r="S134" s="25"/>
      <c r="T134" s="25"/>
      <c r="U134" s="25"/>
      <c r="V134" s="25"/>
    </row>
    <row r="135" spans="1:22" s="22" customFormat="1" ht="14.1" customHeight="1">
      <c r="A135" s="598"/>
      <c r="B135" s="599"/>
      <c r="C135" s="23"/>
      <c r="D135" s="588" t="s">
        <v>147</v>
      </c>
      <c r="E135" s="589"/>
      <c r="F135" s="589"/>
      <c r="G135" s="589"/>
      <c r="H135" s="590"/>
      <c r="I135" s="329"/>
      <c r="J135" s="15" t="s">
        <v>165</v>
      </c>
      <c r="K135" s="24">
        <v>150</v>
      </c>
      <c r="L135" s="301">
        <f t="shared" si="2"/>
        <v>0</v>
      </c>
      <c r="N135" s="25"/>
      <c r="O135" s="25"/>
      <c r="P135" s="25"/>
      <c r="Q135" s="25"/>
      <c r="R135" s="25"/>
      <c r="S135" s="25"/>
      <c r="T135" s="25"/>
      <c r="U135" s="25"/>
      <c r="V135" s="25"/>
    </row>
    <row r="136" spans="1:22" s="22" customFormat="1" ht="14.1" customHeight="1">
      <c r="A136" s="598"/>
      <c r="B136" s="599"/>
      <c r="C136" s="23"/>
      <c r="D136" s="588" t="s">
        <v>148</v>
      </c>
      <c r="E136" s="589"/>
      <c r="F136" s="589"/>
      <c r="G136" s="589"/>
      <c r="H136" s="590"/>
      <c r="I136" s="329"/>
      <c r="J136" s="15" t="s">
        <v>165</v>
      </c>
      <c r="K136" s="24">
        <v>75</v>
      </c>
      <c r="L136" s="301">
        <f t="shared" si="2"/>
        <v>0</v>
      </c>
      <c r="N136" s="25"/>
      <c r="O136" s="25"/>
      <c r="P136" s="25"/>
      <c r="Q136" s="25"/>
      <c r="R136" s="25"/>
      <c r="S136" s="25"/>
      <c r="T136" s="25"/>
      <c r="U136" s="25"/>
      <c r="V136" s="25"/>
    </row>
    <row r="137" spans="1:22" s="22" customFormat="1" ht="14.1" customHeight="1">
      <c r="A137" s="598"/>
      <c r="B137" s="599"/>
      <c r="C137" s="23"/>
      <c r="D137" s="588" t="s">
        <v>135</v>
      </c>
      <c r="E137" s="589"/>
      <c r="F137" s="589"/>
      <c r="G137" s="589"/>
      <c r="H137" s="590"/>
      <c r="I137" s="329"/>
      <c r="J137" s="15" t="s">
        <v>165</v>
      </c>
      <c r="K137" s="24">
        <v>125</v>
      </c>
      <c r="L137" s="301">
        <f t="shared" si="2"/>
        <v>0</v>
      </c>
      <c r="N137" s="25"/>
      <c r="O137" s="25"/>
      <c r="P137" s="25"/>
      <c r="Q137" s="25"/>
      <c r="R137" s="25"/>
      <c r="S137" s="25"/>
      <c r="T137" s="25"/>
      <c r="U137" s="25"/>
      <c r="V137" s="25"/>
    </row>
    <row r="138" spans="1:22" s="22" customFormat="1" ht="14.1" customHeight="1">
      <c r="A138" s="598"/>
      <c r="B138" s="599"/>
      <c r="C138" s="23"/>
      <c r="D138" s="588" t="s">
        <v>136</v>
      </c>
      <c r="E138" s="589"/>
      <c r="F138" s="589"/>
      <c r="G138" s="589"/>
      <c r="H138" s="590"/>
      <c r="I138" s="329"/>
      <c r="J138" s="15" t="s">
        <v>165</v>
      </c>
      <c r="K138" s="24">
        <v>150</v>
      </c>
      <c r="L138" s="301">
        <f t="shared" si="2"/>
        <v>0</v>
      </c>
      <c r="N138" s="25"/>
      <c r="O138" s="25"/>
      <c r="P138" s="25"/>
      <c r="Q138" s="25"/>
      <c r="R138" s="25"/>
      <c r="S138" s="25"/>
      <c r="T138" s="25"/>
      <c r="U138" s="25"/>
      <c r="V138" s="25"/>
    </row>
    <row r="139" spans="1:22" s="22" customFormat="1" ht="14.1" customHeight="1">
      <c r="A139" s="598"/>
      <c r="B139" s="599"/>
      <c r="C139" s="23"/>
      <c r="D139" s="588" t="s">
        <v>149</v>
      </c>
      <c r="E139" s="589"/>
      <c r="F139" s="589"/>
      <c r="G139" s="589"/>
      <c r="H139" s="590"/>
      <c r="I139" s="329"/>
      <c r="J139" s="15" t="s">
        <v>165</v>
      </c>
      <c r="K139" s="24">
        <v>200</v>
      </c>
      <c r="L139" s="301">
        <f t="shared" si="2"/>
        <v>0</v>
      </c>
      <c r="N139" s="25"/>
      <c r="O139" s="25"/>
      <c r="P139" s="25"/>
      <c r="Q139" s="25"/>
      <c r="R139" s="25"/>
      <c r="S139" s="25"/>
      <c r="T139" s="25"/>
      <c r="U139" s="25"/>
      <c r="V139" s="25"/>
    </row>
    <row r="140" spans="1:22" s="22" customFormat="1" ht="14.1" customHeight="1">
      <c r="A140" s="598"/>
      <c r="B140" s="599"/>
      <c r="C140" s="23"/>
      <c r="D140" s="588" t="s">
        <v>150</v>
      </c>
      <c r="E140" s="589"/>
      <c r="F140" s="589"/>
      <c r="G140" s="589"/>
      <c r="H140" s="590"/>
      <c r="I140" s="329"/>
      <c r="J140" s="15" t="s">
        <v>165</v>
      </c>
      <c r="K140" s="24">
        <v>450</v>
      </c>
      <c r="L140" s="301">
        <f t="shared" si="2"/>
        <v>0</v>
      </c>
      <c r="N140" s="25"/>
      <c r="O140" s="25"/>
      <c r="P140" s="25"/>
      <c r="Q140" s="25"/>
      <c r="R140" s="25"/>
      <c r="S140" s="25"/>
      <c r="T140" s="25"/>
      <c r="U140" s="25"/>
      <c r="V140" s="25"/>
    </row>
    <row r="141" spans="1:22" s="22" customFormat="1" ht="14.1" customHeight="1">
      <c r="A141" s="598"/>
      <c r="B141" s="599"/>
      <c r="C141" s="23"/>
      <c r="D141" s="588" t="s">
        <v>151</v>
      </c>
      <c r="E141" s="589"/>
      <c r="F141" s="589"/>
      <c r="G141" s="589"/>
      <c r="H141" s="590"/>
      <c r="I141" s="329"/>
      <c r="J141" s="15" t="s">
        <v>165</v>
      </c>
      <c r="K141" s="24">
        <v>500</v>
      </c>
      <c r="L141" s="301">
        <f t="shared" si="2"/>
        <v>0</v>
      </c>
      <c r="N141" s="25"/>
      <c r="O141" s="25"/>
      <c r="P141" s="25"/>
      <c r="Q141" s="25"/>
      <c r="R141" s="25"/>
      <c r="S141" s="25"/>
      <c r="T141" s="25"/>
      <c r="U141" s="25"/>
      <c r="V141" s="25"/>
    </row>
    <row r="142" spans="1:22" s="22" customFormat="1" ht="14.1" customHeight="1">
      <c r="A142" s="598"/>
      <c r="B142" s="599"/>
      <c r="C142" s="23"/>
      <c r="D142" s="588" t="s">
        <v>152</v>
      </c>
      <c r="E142" s="589"/>
      <c r="F142" s="589"/>
      <c r="G142" s="589"/>
      <c r="H142" s="590"/>
      <c r="I142" s="329"/>
      <c r="J142" s="15" t="s">
        <v>165</v>
      </c>
      <c r="K142" s="24">
        <v>400</v>
      </c>
      <c r="L142" s="301">
        <f t="shared" si="2"/>
        <v>0</v>
      </c>
      <c r="N142" s="25"/>
      <c r="O142" s="25"/>
      <c r="P142" s="25"/>
      <c r="Q142" s="25"/>
      <c r="R142" s="25"/>
      <c r="S142" s="25"/>
      <c r="T142" s="25"/>
      <c r="U142" s="25"/>
      <c r="V142" s="25"/>
    </row>
    <row r="143" spans="1:22" s="22" customFormat="1" ht="14.1" customHeight="1">
      <c r="A143" s="598"/>
      <c r="B143" s="599"/>
      <c r="C143" s="23"/>
      <c r="D143" s="588" t="s">
        <v>153</v>
      </c>
      <c r="E143" s="589"/>
      <c r="F143" s="589"/>
      <c r="G143" s="589"/>
      <c r="H143" s="590"/>
      <c r="I143" s="329"/>
      <c r="J143" s="15" t="s">
        <v>165</v>
      </c>
      <c r="K143" s="24">
        <v>210</v>
      </c>
      <c r="L143" s="301">
        <f t="shared" si="2"/>
        <v>0</v>
      </c>
      <c r="N143" s="25"/>
      <c r="O143" s="25"/>
      <c r="P143" s="25"/>
      <c r="Q143" s="25"/>
      <c r="R143" s="25"/>
      <c r="S143" s="25"/>
      <c r="T143" s="25"/>
      <c r="U143" s="25"/>
      <c r="V143" s="25"/>
    </row>
    <row r="144" spans="1:22" s="22" customFormat="1" ht="14.1" customHeight="1" thickBot="1">
      <c r="A144" s="625"/>
      <c r="B144" s="626"/>
      <c r="C144" s="39"/>
      <c r="D144" s="627" t="s">
        <v>154</v>
      </c>
      <c r="E144" s="628"/>
      <c r="F144" s="628"/>
      <c r="G144" s="628"/>
      <c r="H144" s="629"/>
      <c r="I144" s="335"/>
      <c r="J144" s="40" t="s">
        <v>165</v>
      </c>
      <c r="K144" s="41">
        <v>75</v>
      </c>
      <c r="L144" s="304">
        <f t="shared" si="2"/>
        <v>0</v>
      </c>
      <c r="N144" s="25"/>
      <c r="O144" s="25"/>
      <c r="P144" s="25"/>
      <c r="Q144" s="25"/>
      <c r="R144" s="25"/>
      <c r="S144" s="25"/>
      <c r="T144" s="25"/>
      <c r="U144" s="25"/>
      <c r="V144" s="25"/>
    </row>
    <row r="145" spans="1:22" s="22" customFormat="1" ht="14.1" customHeight="1" thickTop="1">
      <c r="A145" s="636" t="s">
        <v>438</v>
      </c>
      <c r="B145" s="636"/>
      <c r="C145" s="636"/>
      <c r="D145" s="636"/>
      <c r="E145" s="636"/>
      <c r="F145" s="636"/>
      <c r="G145" s="636"/>
      <c r="H145" s="636"/>
      <c r="I145" s="636"/>
      <c r="J145" s="636"/>
      <c r="K145" s="636"/>
      <c r="L145" s="636"/>
      <c r="N145" s="25"/>
      <c r="O145" s="25"/>
      <c r="P145" s="25"/>
      <c r="Q145" s="25"/>
      <c r="R145" s="25"/>
      <c r="S145" s="25"/>
      <c r="T145" s="25"/>
      <c r="U145" s="25"/>
      <c r="V145" s="25"/>
    </row>
    <row r="146" spans="1:22" s="3" customFormat="1" ht="21.75" thickBot="1">
      <c r="A146" s="600" t="s">
        <v>48</v>
      </c>
      <c r="B146" s="600"/>
      <c r="C146" s="600"/>
      <c r="D146" s="600"/>
      <c r="E146" s="600"/>
      <c r="F146" s="600"/>
      <c r="G146" s="600"/>
      <c r="H146" s="600"/>
      <c r="I146" s="600"/>
      <c r="J146" s="600"/>
      <c r="K146" s="600"/>
      <c r="L146" s="600"/>
      <c r="N146" s="17"/>
      <c r="O146" s="17"/>
      <c r="P146" s="17"/>
      <c r="Q146" s="17"/>
      <c r="R146" s="17"/>
      <c r="S146" s="17"/>
      <c r="T146" s="17"/>
      <c r="U146" s="17"/>
      <c r="V146" s="17"/>
    </row>
    <row r="147" spans="1:22" s="22" customFormat="1" ht="14.1" customHeight="1" thickBot="1">
      <c r="A147" s="591" t="s">
        <v>158</v>
      </c>
      <c r="B147" s="592"/>
      <c r="C147" s="298" t="s">
        <v>27</v>
      </c>
      <c r="D147" s="592" t="s">
        <v>159</v>
      </c>
      <c r="E147" s="592"/>
      <c r="F147" s="592"/>
      <c r="G147" s="592"/>
      <c r="H147" s="592"/>
      <c r="I147" s="298" t="s">
        <v>28</v>
      </c>
      <c r="J147" s="298" t="s">
        <v>161</v>
      </c>
      <c r="K147" s="298" t="s">
        <v>15</v>
      </c>
      <c r="L147" s="299" t="s">
        <v>160</v>
      </c>
      <c r="M147" s="16"/>
      <c r="N147" s="25"/>
      <c r="O147" s="25"/>
      <c r="P147" s="25"/>
      <c r="Q147" s="25"/>
      <c r="R147" s="25"/>
      <c r="S147" s="25"/>
      <c r="T147" s="25"/>
      <c r="U147" s="25"/>
      <c r="V147" s="25"/>
    </row>
    <row r="148" spans="1:22" s="22" customFormat="1" ht="14.1" customHeight="1">
      <c r="A148" s="598" t="s">
        <v>42</v>
      </c>
      <c r="B148" s="599"/>
      <c r="C148" s="295"/>
      <c r="D148" s="593" t="s">
        <v>334</v>
      </c>
      <c r="E148" s="594"/>
      <c r="F148" s="594"/>
      <c r="G148" s="594"/>
      <c r="H148" s="595"/>
      <c r="I148" s="330"/>
      <c r="J148" s="296" t="s">
        <v>162</v>
      </c>
      <c r="K148" s="297">
        <v>30</v>
      </c>
      <c r="L148" s="300">
        <f>SUM(I148*K148)</f>
        <v>0</v>
      </c>
      <c r="N148" s="25"/>
      <c r="O148" s="16"/>
      <c r="P148" s="16"/>
      <c r="Q148" s="16"/>
      <c r="R148" s="25"/>
      <c r="S148" s="25"/>
      <c r="T148" s="25"/>
      <c r="U148" s="25"/>
      <c r="V148" s="25"/>
    </row>
    <row r="149" spans="1:22" s="22" customFormat="1" ht="14.1" customHeight="1">
      <c r="A149" s="70"/>
      <c r="B149" s="71"/>
      <c r="C149" s="23"/>
      <c r="D149" s="67" t="s">
        <v>335</v>
      </c>
      <c r="E149" s="68"/>
      <c r="F149" s="68"/>
      <c r="G149" s="68"/>
      <c r="H149" s="69"/>
      <c r="I149" s="329"/>
      <c r="J149" s="15" t="s">
        <v>162</v>
      </c>
      <c r="K149" s="401" t="s">
        <v>432</v>
      </c>
      <c r="L149" s="301">
        <f>I149*VLOOKUP(I149,'Formula Data'!B8:C13,2)</f>
        <v>0</v>
      </c>
      <c r="N149" s="25"/>
      <c r="O149" s="16"/>
      <c r="P149" s="16"/>
      <c r="Q149" s="16"/>
      <c r="R149" s="25"/>
      <c r="S149" s="25"/>
      <c r="T149" s="25"/>
      <c r="U149" s="25"/>
      <c r="V149" s="25"/>
    </row>
    <row r="150" spans="1:22" s="22" customFormat="1" ht="14.1" customHeight="1">
      <c r="A150" s="598"/>
      <c r="B150" s="599"/>
      <c r="C150" s="23"/>
      <c r="D150" s="588" t="s">
        <v>420</v>
      </c>
      <c r="E150" s="589"/>
      <c r="F150" s="589"/>
      <c r="G150" s="589"/>
      <c r="H150" s="590"/>
      <c r="I150" s="329"/>
      <c r="J150" s="15" t="s">
        <v>165</v>
      </c>
      <c r="K150" s="24">
        <v>1500</v>
      </c>
      <c r="L150" s="301">
        <f t="shared" ref="L150:L185" si="3">SUM(I150*K150)</f>
        <v>0</v>
      </c>
      <c r="N150" s="25"/>
      <c r="O150" s="309"/>
      <c r="P150" s="309"/>
      <c r="Q150" s="309"/>
      <c r="R150" s="25"/>
      <c r="S150" s="25"/>
      <c r="T150" s="25"/>
      <c r="U150" s="25"/>
      <c r="V150" s="25"/>
    </row>
    <row r="151" spans="1:22" s="22" customFormat="1" ht="14.1" customHeight="1">
      <c r="A151" s="602"/>
      <c r="B151" s="603"/>
      <c r="C151" s="23"/>
      <c r="D151" s="588" t="s">
        <v>155</v>
      </c>
      <c r="E151" s="589"/>
      <c r="F151" s="589"/>
      <c r="G151" s="589"/>
      <c r="H151" s="590"/>
      <c r="I151" s="329"/>
      <c r="J151" s="15" t="s">
        <v>162</v>
      </c>
      <c r="K151" s="24">
        <v>1.85</v>
      </c>
      <c r="L151" s="301">
        <f t="shared" si="3"/>
        <v>0</v>
      </c>
      <c r="N151" s="25"/>
      <c r="O151" s="16"/>
      <c r="P151" s="16"/>
      <c r="Q151" s="16"/>
      <c r="R151" s="25"/>
      <c r="S151" s="25"/>
      <c r="T151" s="25"/>
      <c r="U151" s="25"/>
      <c r="V151" s="25"/>
    </row>
    <row r="152" spans="1:22" s="22" customFormat="1" ht="14.1" customHeight="1">
      <c r="A152" s="604" t="s">
        <v>43</v>
      </c>
      <c r="B152" s="605"/>
      <c r="C152" s="23"/>
      <c r="D152" s="588" t="s">
        <v>156</v>
      </c>
      <c r="E152" s="589"/>
      <c r="F152" s="589"/>
      <c r="G152" s="589"/>
      <c r="H152" s="590"/>
      <c r="I152" s="329"/>
      <c r="J152" s="15" t="s">
        <v>162</v>
      </c>
      <c r="K152" s="24">
        <v>1</v>
      </c>
      <c r="L152" s="301">
        <f t="shared" si="3"/>
        <v>0</v>
      </c>
      <c r="N152" s="25"/>
      <c r="O152" s="16"/>
      <c r="P152" s="16"/>
      <c r="Q152" s="16"/>
      <c r="R152" s="25"/>
      <c r="S152" s="25"/>
      <c r="T152" s="25"/>
      <c r="U152" s="25"/>
      <c r="V152" s="25"/>
    </row>
    <row r="153" spans="1:22" s="22" customFormat="1" ht="14.1" customHeight="1">
      <c r="A153" s="598"/>
      <c r="B153" s="599"/>
      <c r="C153" s="23"/>
      <c r="D153" s="588" t="s">
        <v>157</v>
      </c>
      <c r="E153" s="589"/>
      <c r="F153" s="589"/>
      <c r="G153" s="589"/>
      <c r="H153" s="590"/>
      <c r="I153" s="329"/>
      <c r="J153" s="15" t="s">
        <v>162</v>
      </c>
      <c r="K153" s="24">
        <v>1.25</v>
      </c>
      <c r="L153" s="301">
        <f t="shared" si="3"/>
        <v>0</v>
      </c>
      <c r="N153" s="25"/>
      <c r="O153" s="16"/>
      <c r="P153" s="16"/>
      <c r="Q153" s="16"/>
      <c r="R153" s="25"/>
      <c r="S153" s="25"/>
      <c r="T153" s="25"/>
      <c r="U153" s="25"/>
      <c r="V153" s="25"/>
    </row>
    <row r="154" spans="1:22" s="22" customFormat="1" ht="14.1" customHeight="1">
      <c r="A154" s="602"/>
      <c r="B154" s="603"/>
      <c r="C154" s="23"/>
      <c r="D154" s="588" t="s">
        <v>53</v>
      </c>
      <c r="E154" s="589"/>
      <c r="F154" s="589"/>
      <c r="G154" s="589"/>
      <c r="H154" s="590"/>
      <c r="I154" s="329"/>
      <c r="J154" s="15" t="s">
        <v>162</v>
      </c>
      <c r="K154" s="24">
        <v>0.8</v>
      </c>
      <c r="L154" s="301">
        <f t="shared" si="3"/>
        <v>0</v>
      </c>
      <c r="N154" s="25"/>
      <c r="O154" s="25"/>
      <c r="P154" s="25"/>
      <c r="Q154" s="25"/>
      <c r="R154" s="25"/>
      <c r="S154" s="25"/>
      <c r="T154" s="25"/>
      <c r="U154" s="25"/>
      <c r="V154" s="25"/>
    </row>
    <row r="155" spans="1:22" s="22" customFormat="1" ht="14.1" customHeight="1">
      <c r="A155" s="604" t="s">
        <v>44</v>
      </c>
      <c r="B155" s="605"/>
      <c r="C155" s="23"/>
      <c r="D155" s="588" t="s">
        <v>16</v>
      </c>
      <c r="E155" s="589"/>
      <c r="F155" s="589"/>
      <c r="G155" s="589"/>
      <c r="H155" s="590"/>
      <c r="I155" s="329"/>
      <c r="J155" s="15" t="s">
        <v>162</v>
      </c>
      <c r="K155" s="24">
        <v>6</v>
      </c>
      <c r="L155" s="301">
        <f t="shared" si="3"/>
        <v>0</v>
      </c>
      <c r="N155" s="25"/>
      <c r="O155" s="25"/>
      <c r="P155" s="25"/>
      <c r="Q155" s="25"/>
      <c r="R155" s="25"/>
      <c r="S155" s="25"/>
      <c r="T155" s="25"/>
      <c r="U155" s="25"/>
      <c r="V155" s="25"/>
    </row>
    <row r="156" spans="1:22" s="22" customFormat="1" ht="14.1" customHeight="1">
      <c r="A156" s="598"/>
      <c r="B156" s="599"/>
      <c r="C156" s="23"/>
      <c r="D156" s="588" t="s">
        <v>54</v>
      </c>
      <c r="E156" s="589"/>
      <c r="F156" s="589"/>
      <c r="G156" s="589"/>
      <c r="H156" s="590"/>
      <c r="I156" s="329"/>
      <c r="J156" s="15" t="s">
        <v>162</v>
      </c>
      <c r="K156" s="24">
        <v>2.5</v>
      </c>
      <c r="L156" s="301">
        <f t="shared" si="3"/>
        <v>0</v>
      </c>
      <c r="N156" s="25"/>
      <c r="O156" s="25"/>
      <c r="P156" s="25"/>
      <c r="Q156" s="25"/>
      <c r="R156" s="25"/>
      <c r="S156" s="25"/>
      <c r="T156" s="25"/>
      <c r="U156" s="25"/>
      <c r="V156" s="25"/>
    </row>
    <row r="157" spans="1:22" s="22" customFormat="1" ht="14.1" customHeight="1">
      <c r="A157" s="598"/>
      <c r="B157" s="599"/>
      <c r="C157" s="23"/>
      <c r="D157" s="588" t="s">
        <v>55</v>
      </c>
      <c r="E157" s="589"/>
      <c r="F157" s="589"/>
      <c r="G157" s="589"/>
      <c r="H157" s="590"/>
      <c r="I157" s="329"/>
      <c r="J157" s="15" t="s">
        <v>162</v>
      </c>
      <c r="K157" s="24">
        <v>4</v>
      </c>
      <c r="L157" s="301">
        <f t="shared" si="3"/>
        <v>0</v>
      </c>
      <c r="N157" s="25"/>
      <c r="O157" s="25"/>
      <c r="P157" s="25"/>
      <c r="Q157" s="25"/>
      <c r="R157" s="25"/>
      <c r="S157" s="25"/>
      <c r="T157" s="25"/>
      <c r="U157" s="25"/>
      <c r="V157" s="25"/>
    </row>
    <row r="158" spans="1:22" s="22" customFormat="1" ht="14.1" customHeight="1">
      <c r="A158" s="598"/>
      <c r="B158" s="599"/>
      <c r="C158" s="23"/>
      <c r="D158" s="588" t="s">
        <v>56</v>
      </c>
      <c r="E158" s="589"/>
      <c r="F158" s="589"/>
      <c r="G158" s="589"/>
      <c r="H158" s="590"/>
      <c r="I158" s="329"/>
      <c r="J158" s="15" t="s">
        <v>162</v>
      </c>
      <c r="K158" s="24">
        <v>1</v>
      </c>
      <c r="L158" s="301">
        <f t="shared" si="3"/>
        <v>0</v>
      </c>
      <c r="N158" s="25"/>
      <c r="O158" s="25"/>
      <c r="P158" s="25"/>
      <c r="Q158" s="25"/>
      <c r="R158" s="25"/>
      <c r="S158" s="25"/>
      <c r="T158" s="25"/>
      <c r="U158" s="25"/>
      <c r="V158" s="25"/>
    </row>
    <row r="159" spans="1:22" s="22" customFormat="1" ht="14.1" customHeight="1">
      <c r="A159" s="289"/>
      <c r="B159" s="290"/>
      <c r="C159" s="23"/>
      <c r="D159" s="588" t="s">
        <v>57</v>
      </c>
      <c r="E159" s="589"/>
      <c r="F159" s="589"/>
      <c r="G159" s="589"/>
      <c r="H159" s="590"/>
      <c r="I159" s="329"/>
      <c r="J159" s="15" t="s">
        <v>165</v>
      </c>
      <c r="K159" s="24">
        <v>500</v>
      </c>
      <c r="L159" s="301">
        <f t="shared" ref="L159" si="4">SUM(I159*K159)</f>
        <v>0</v>
      </c>
      <c r="N159" s="25"/>
      <c r="O159" s="25"/>
      <c r="P159" s="25"/>
      <c r="Q159" s="25"/>
      <c r="R159" s="25"/>
      <c r="S159" s="25"/>
      <c r="T159" s="25"/>
      <c r="U159" s="25"/>
      <c r="V159" s="25"/>
    </row>
    <row r="160" spans="1:22" s="22" customFormat="1" ht="14.1" customHeight="1">
      <c r="A160" s="602"/>
      <c r="B160" s="603"/>
      <c r="C160" s="23"/>
      <c r="D160" s="588" t="s">
        <v>421</v>
      </c>
      <c r="E160" s="589"/>
      <c r="F160" s="589"/>
      <c r="G160" s="589"/>
      <c r="H160" s="590"/>
      <c r="I160" s="329"/>
      <c r="J160" s="15" t="s">
        <v>162</v>
      </c>
      <c r="K160" s="24">
        <v>1</v>
      </c>
      <c r="L160" s="301">
        <f t="shared" si="3"/>
        <v>0</v>
      </c>
      <c r="N160" s="25"/>
      <c r="O160" s="25"/>
      <c r="P160" s="25"/>
      <c r="Q160" s="25"/>
      <c r="R160" s="25"/>
      <c r="S160" s="25"/>
      <c r="T160" s="25"/>
      <c r="U160" s="25"/>
      <c r="V160" s="25"/>
    </row>
    <row r="161" spans="1:22" s="22" customFormat="1" ht="14.1" customHeight="1">
      <c r="A161" s="604" t="s">
        <v>45</v>
      </c>
      <c r="B161" s="605"/>
      <c r="C161" s="23"/>
      <c r="D161" s="637" t="s">
        <v>5</v>
      </c>
      <c r="E161" s="638"/>
      <c r="F161" s="638"/>
      <c r="G161" s="638"/>
      <c r="H161" s="639"/>
      <c r="I161" s="329"/>
      <c r="J161" s="15" t="s">
        <v>165</v>
      </c>
      <c r="K161" s="24">
        <v>4000</v>
      </c>
      <c r="L161" s="301">
        <f t="shared" si="3"/>
        <v>0</v>
      </c>
      <c r="N161" s="25"/>
      <c r="O161" s="25"/>
      <c r="P161" s="25"/>
      <c r="Q161" s="25"/>
      <c r="R161" s="25"/>
      <c r="S161" s="25"/>
      <c r="T161" s="25"/>
      <c r="U161" s="25"/>
      <c r="V161" s="25"/>
    </row>
    <row r="162" spans="1:22" s="22" customFormat="1" ht="14.1" customHeight="1">
      <c r="A162" s="598"/>
      <c r="B162" s="599"/>
      <c r="C162" s="23"/>
      <c r="D162" s="637" t="s">
        <v>6</v>
      </c>
      <c r="E162" s="638"/>
      <c r="F162" s="638"/>
      <c r="G162" s="638"/>
      <c r="H162" s="639"/>
      <c r="I162" s="329"/>
      <c r="J162" s="15" t="s">
        <v>165</v>
      </c>
      <c r="K162" s="24">
        <v>2000</v>
      </c>
      <c r="L162" s="301">
        <f t="shared" si="3"/>
        <v>0</v>
      </c>
      <c r="N162" s="25"/>
      <c r="O162" s="25"/>
      <c r="P162" s="25"/>
      <c r="Q162" s="25"/>
      <c r="R162" s="25"/>
      <c r="S162" s="25"/>
      <c r="T162" s="25"/>
      <c r="U162" s="25"/>
      <c r="V162" s="25"/>
    </row>
    <row r="163" spans="1:22" s="22" customFormat="1" ht="14.1" customHeight="1">
      <c r="A163" s="598"/>
      <c r="B163" s="599"/>
      <c r="C163" s="23"/>
      <c r="D163" s="588" t="s">
        <v>58</v>
      </c>
      <c r="E163" s="589"/>
      <c r="F163" s="589"/>
      <c r="G163" s="589"/>
      <c r="H163" s="590"/>
      <c r="I163" s="329"/>
      <c r="J163" s="15" t="s">
        <v>165</v>
      </c>
      <c r="K163" s="24">
        <v>175</v>
      </c>
      <c r="L163" s="301">
        <f t="shared" si="3"/>
        <v>0</v>
      </c>
      <c r="N163" s="25"/>
      <c r="O163" s="25"/>
      <c r="P163" s="25"/>
      <c r="Q163" s="25"/>
      <c r="R163" s="25"/>
      <c r="S163" s="25"/>
      <c r="T163" s="25"/>
      <c r="U163" s="25"/>
      <c r="V163" s="25"/>
    </row>
    <row r="164" spans="1:22" s="22" customFormat="1" ht="14.1" customHeight="1">
      <c r="A164" s="598"/>
      <c r="B164" s="599"/>
      <c r="C164" s="23"/>
      <c r="D164" s="588" t="s">
        <v>59</v>
      </c>
      <c r="E164" s="589"/>
      <c r="F164" s="589"/>
      <c r="G164" s="589"/>
      <c r="H164" s="590"/>
      <c r="I164" s="329"/>
      <c r="J164" s="15" t="s">
        <v>165</v>
      </c>
      <c r="K164" s="24">
        <v>175</v>
      </c>
      <c r="L164" s="301">
        <f t="shared" si="3"/>
        <v>0</v>
      </c>
      <c r="N164" s="25"/>
      <c r="O164" s="25"/>
      <c r="P164" s="25"/>
      <c r="Q164" s="25"/>
      <c r="R164" s="25"/>
      <c r="S164" s="25"/>
      <c r="T164" s="25"/>
      <c r="U164" s="25"/>
      <c r="V164" s="25"/>
    </row>
    <row r="165" spans="1:22" s="22" customFormat="1" ht="14.1" customHeight="1">
      <c r="A165" s="598"/>
      <c r="B165" s="599"/>
      <c r="C165" s="23"/>
      <c r="D165" s="588" t="s">
        <v>60</v>
      </c>
      <c r="E165" s="589"/>
      <c r="F165" s="589"/>
      <c r="G165" s="589"/>
      <c r="H165" s="590"/>
      <c r="I165" s="329"/>
      <c r="J165" s="15" t="s">
        <v>165</v>
      </c>
      <c r="K165" s="24">
        <v>150</v>
      </c>
      <c r="L165" s="301">
        <f t="shared" si="3"/>
        <v>0</v>
      </c>
      <c r="N165" s="25"/>
      <c r="O165" s="25"/>
      <c r="P165" s="25"/>
      <c r="Q165" s="25"/>
      <c r="R165" s="25"/>
      <c r="S165" s="25"/>
      <c r="T165" s="25"/>
      <c r="U165" s="25"/>
      <c r="V165" s="25"/>
    </row>
    <row r="166" spans="1:22" s="22" customFormat="1" ht="14.1" customHeight="1">
      <c r="A166" s="598"/>
      <c r="B166" s="599"/>
      <c r="C166" s="23"/>
      <c r="D166" s="588" t="s">
        <v>61</v>
      </c>
      <c r="E166" s="589"/>
      <c r="F166" s="589"/>
      <c r="G166" s="589"/>
      <c r="H166" s="590"/>
      <c r="I166" s="329"/>
      <c r="J166" s="15" t="s">
        <v>165</v>
      </c>
      <c r="K166" s="24">
        <v>700</v>
      </c>
      <c r="L166" s="301">
        <f t="shared" si="3"/>
        <v>0</v>
      </c>
      <c r="N166" s="25"/>
      <c r="O166" s="25"/>
      <c r="P166" s="25"/>
      <c r="Q166" s="25"/>
      <c r="R166" s="25"/>
      <c r="S166" s="25"/>
      <c r="T166" s="25"/>
      <c r="U166" s="25"/>
      <c r="V166" s="25"/>
    </row>
    <row r="167" spans="1:22" s="22" customFormat="1" ht="14.1" customHeight="1">
      <c r="A167" s="598"/>
      <c r="B167" s="599"/>
      <c r="C167" s="23"/>
      <c r="D167" s="588" t="s">
        <v>62</v>
      </c>
      <c r="E167" s="589"/>
      <c r="F167" s="589"/>
      <c r="G167" s="589"/>
      <c r="H167" s="590"/>
      <c r="I167" s="329"/>
      <c r="J167" s="15" t="s">
        <v>165</v>
      </c>
      <c r="K167" s="24">
        <v>850</v>
      </c>
      <c r="L167" s="301">
        <f t="shared" si="3"/>
        <v>0</v>
      </c>
      <c r="N167" s="25"/>
      <c r="O167" s="25"/>
      <c r="P167" s="25"/>
      <c r="Q167" s="25"/>
      <c r="R167" s="25"/>
      <c r="S167" s="25"/>
      <c r="T167" s="25"/>
      <c r="U167" s="25"/>
      <c r="V167" s="25"/>
    </row>
    <row r="168" spans="1:22" s="22" customFormat="1" ht="14.1" customHeight="1">
      <c r="A168" s="598"/>
      <c r="B168" s="599"/>
      <c r="C168" s="23"/>
      <c r="D168" s="588" t="s">
        <v>63</v>
      </c>
      <c r="E168" s="589"/>
      <c r="F168" s="589"/>
      <c r="G168" s="589"/>
      <c r="H168" s="590"/>
      <c r="I168" s="329"/>
      <c r="J168" s="15" t="s">
        <v>170</v>
      </c>
      <c r="K168" s="24">
        <v>3.75</v>
      </c>
      <c r="L168" s="301">
        <f t="shared" si="3"/>
        <v>0</v>
      </c>
      <c r="N168" s="25"/>
      <c r="O168" s="25"/>
      <c r="P168" s="25"/>
      <c r="Q168" s="25"/>
      <c r="R168" s="25"/>
      <c r="S168" s="25"/>
      <c r="T168" s="25"/>
      <c r="U168" s="25"/>
      <c r="V168" s="25"/>
    </row>
    <row r="169" spans="1:22" s="22" customFormat="1" ht="14.1" customHeight="1">
      <c r="A169" s="598"/>
      <c r="B169" s="599"/>
      <c r="C169" s="23"/>
      <c r="D169" s="588" t="s">
        <v>64</v>
      </c>
      <c r="E169" s="589"/>
      <c r="F169" s="589"/>
      <c r="G169" s="589"/>
      <c r="H169" s="590"/>
      <c r="I169" s="329"/>
      <c r="J169" s="15" t="s">
        <v>170</v>
      </c>
      <c r="K169" s="24">
        <v>2.75</v>
      </c>
      <c r="L169" s="301">
        <f t="shared" si="3"/>
        <v>0</v>
      </c>
      <c r="N169" s="25"/>
      <c r="O169" s="25"/>
      <c r="P169" s="25"/>
      <c r="Q169" s="25"/>
      <c r="R169" s="25"/>
      <c r="S169" s="25"/>
      <c r="T169" s="25"/>
      <c r="U169" s="25"/>
      <c r="V169" s="25"/>
    </row>
    <row r="170" spans="1:22" s="22" customFormat="1" ht="14.1" customHeight="1">
      <c r="A170" s="602"/>
      <c r="B170" s="603"/>
      <c r="C170" s="23"/>
      <c r="D170" s="588" t="s">
        <v>65</v>
      </c>
      <c r="E170" s="589"/>
      <c r="F170" s="589"/>
      <c r="G170" s="589"/>
      <c r="H170" s="590"/>
      <c r="I170" s="329"/>
      <c r="J170" s="15" t="s">
        <v>170</v>
      </c>
      <c r="K170" s="24">
        <v>17.5</v>
      </c>
      <c r="L170" s="301">
        <f t="shared" si="3"/>
        <v>0</v>
      </c>
      <c r="N170" s="25"/>
      <c r="O170" s="25"/>
      <c r="P170" s="25"/>
      <c r="Q170" s="25"/>
      <c r="R170" s="25"/>
      <c r="S170" s="25"/>
      <c r="T170" s="25"/>
      <c r="U170" s="25"/>
      <c r="V170" s="25"/>
    </row>
    <row r="171" spans="1:22" s="22" customFormat="1" ht="14.1" customHeight="1">
      <c r="A171" s="604" t="s">
        <v>46</v>
      </c>
      <c r="B171" s="605"/>
      <c r="C171" s="23"/>
      <c r="D171" s="588" t="s">
        <v>66</v>
      </c>
      <c r="E171" s="589"/>
      <c r="F171" s="589"/>
      <c r="G171" s="589"/>
      <c r="H171" s="590"/>
      <c r="I171" s="329"/>
      <c r="J171" s="15" t="s">
        <v>67</v>
      </c>
      <c r="K171" s="24">
        <v>175</v>
      </c>
      <c r="L171" s="301">
        <f t="shared" si="3"/>
        <v>0</v>
      </c>
      <c r="N171" s="25"/>
      <c r="O171" s="25"/>
      <c r="P171" s="25"/>
      <c r="Q171" s="25"/>
      <c r="R171" s="25"/>
      <c r="S171" s="25"/>
      <c r="T171" s="25"/>
      <c r="U171" s="25"/>
      <c r="V171" s="25"/>
    </row>
    <row r="172" spans="1:22" s="22" customFormat="1" ht="14.1" customHeight="1">
      <c r="A172" s="598"/>
      <c r="B172" s="599"/>
      <c r="C172" s="23"/>
      <c r="D172" s="588" t="s">
        <v>68</v>
      </c>
      <c r="E172" s="589"/>
      <c r="F172" s="589"/>
      <c r="G172" s="589"/>
      <c r="H172" s="590"/>
      <c r="I172" s="329"/>
      <c r="J172" s="15" t="s">
        <v>165</v>
      </c>
      <c r="K172" s="24">
        <v>250</v>
      </c>
      <c r="L172" s="301">
        <f t="shared" si="3"/>
        <v>0</v>
      </c>
      <c r="N172" s="25"/>
      <c r="O172" s="25"/>
      <c r="P172" s="25"/>
      <c r="Q172" s="25"/>
      <c r="R172" s="25"/>
      <c r="S172" s="25"/>
      <c r="T172" s="25"/>
      <c r="U172" s="25"/>
      <c r="V172" s="25"/>
    </row>
    <row r="173" spans="1:22" s="22" customFormat="1" ht="14.1" customHeight="1">
      <c r="A173" s="598"/>
      <c r="B173" s="599"/>
      <c r="C173" s="23"/>
      <c r="D173" s="640" t="s">
        <v>346</v>
      </c>
      <c r="E173" s="641"/>
      <c r="F173" s="641"/>
      <c r="G173" s="641"/>
      <c r="H173" s="642"/>
      <c r="I173" s="329"/>
      <c r="J173" s="44" t="s">
        <v>347</v>
      </c>
      <c r="K173" s="24">
        <v>1000</v>
      </c>
      <c r="L173" s="301">
        <f t="shared" si="3"/>
        <v>0</v>
      </c>
      <c r="N173" s="25"/>
      <c r="O173" s="25"/>
      <c r="P173" s="25"/>
      <c r="Q173" s="25"/>
      <c r="R173" s="25"/>
      <c r="S173" s="25"/>
      <c r="T173" s="25"/>
      <c r="U173" s="25"/>
      <c r="V173" s="25"/>
    </row>
    <row r="174" spans="1:22" s="22" customFormat="1" ht="14.1" customHeight="1">
      <c r="A174" s="598"/>
      <c r="B174" s="599"/>
      <c r="C174" s="23"/>
      <c r="D174" s="640" t="s">
        <v>337</v>
      </c>
      <c r="E174" s="641"/>
      <c r="F174" s="641"/>
      <c r="G174" s="641"/>
      <c r="H174" s="642"/>
      <c r="I174" s="329"/>
      <c r="J174" s="44" t="s">
        <v>170</v>
      </c>
      <c r="K174" s="24">
        <v>25</v>
      </c>
      <c r="L174" s="301">
        <f t="shared" si="3"/>
        <v>0</v>
      </c>
      <c r="N174" s="25"/>
      <c r="O174" s="25"/>
      <c r="P174" s="25"/>
      <c r="Q174" s="25"/>
      <c r="R174" s="25"/>
      <c r="S174" s="25"/>
      <c r="T174" s="25"/>
      <c r="U174" s="25"/>
      <c r="V174" s="25"/>
    </row>
    <row r="175" spans="1:22" s="22" customFormat="1" ht="14.1" customHeight="1">
      <c r="A175" s="598"/>
      <c r="B175" s="599"/>
      <c r="C175" s="23"/>
      <c r="D175" s="588" t="s">
        <v>69</v>
      </c>
      <c r="E175" s="589"/>
      <c r="F175" s="589"/>
      <c r="G175" s="589"/>
      <c r="H175" s="590"/>
      <c r="I175" s="329"/>
      <c r="J175" s="15" t="s">
        <v>165</v>
      </c>
      <c r="K175" s="24">
        <v>500</v>
      </c>
      <c r="L175" s="301">
        <f t="shared" si="3"/>
        <v>0</v>
      </c>
      <c r="N175" s="25"/>
      <c r="O175" s="25"/>
      <c r="P175" s="25"/>
      <c r="Q175" s="25"/>
      <c r="R175" s="25"/>
      <c r="S175" s="25"/>
      <c r="T175" s="25"/>
      <c r="U175" s="25"/>
      <c r="V175" s="25"/>
    </row>
    <row r="176" spans="1:22" s="22" customFormat="1" ht="14.1" customHeight="1">
      <c r="A176" s="602"/>
      <c r="B176" s="603"/>
      <c r="C176" s="23"/>
      <c r="D176" s="588" t="s">
        <v>70</v>
      </c>
      <c r="E176" s="589"/>
      <c r="F176" s="589"/>
      <c r="G176" s="589"/>
      <c r="H176" s="590"/>
      <c r="I176" s="329"/>
      <c r="J176" s="15" t="s">
        <v>165</v>
      </c>
      <c r="K176" s="24">
        <v>1000</v>
      </c>
      <c r="L176" s="301">
        <f t="shared" si="3"/>
        <v>0</v>
      </c>
      <c r="N176" s="25"/>
      <c r="O176" s="25"/>
      <c r="P176" s="25"/>
      <c r="Q176" s="25"/>
      <c r="R176" s="25"/>
      <c r="S176" s="25"/>
      <c r="T176" s="25"/>
      <c r="U176" s="25"/>
      <c r="V176" s="25"/>
    </row>
    <row r="177" spans="1:22" s="22" customFormat="1" ht="14.1" customHeight="1">
      <c r="A177" s="604" t="s">
        <v>216</v>
      </c>
      <c r="B177" s="605"/>
      <c r="C177" s="23"/>
      <c r="D177" s="588" t="s">
        <v>71</v>
      </c>
      <c r="E177" s="589"/>
      <c r="F177" s="589"/>
      <c r="G177" s="589"/>
      <c r="H177" s="590"/>
      <c r="I177" s="329"/>
      <c r="J177" s="15" t="s">
        <v>170</v>
      </c>
      <c r="K177" s="24">
        <v>20</v>
      </c>
      <c r="L177" s="301">
        <f t="shared" si="3"/>
        <v>0</v>
      </c>
      <c r="N177" s="25"/>
      <c r="O177" s="25"/>
      <c r="P177" s="25"/>
      <c r="Q177" s="25"/>
      <c r="R177" s="25"/>
      <c r="S177" s="25"/>
      <c r="T177" s="25"/>
      <c r="U177" s="25"/>
      <c r="V177" s="25"/>
    </row>
    <row r="178" spans="1:22" s="22" customFormat="1" ht="14.1" customHeight="1">
      <c r="A178" s="643" t="s">
        <v>336</v>
      </c>
      <c r="B178" s="607"/>
      <c r="C178" s="23"/>
      <c r="D178" s="588" t="s">
        <v>72</v>
      </c>
      <c r="E178" s="589"/>
      <c r="F178" s="589"/>
      <c r="G178" s="589"/>
      <c r="H178" s="590"/>
      <c r="I178" s="329"/>
      <c r="J178" s="15" t="s">
        <v>170</v>
      </c>
      <c r="K178" s="24">
        <v>10</v>
      </c>
      <c r="L178" s="301">
        <f t="shared" si="3"/>
        <v>0</v>
      </c>
      <c r="N178" s="25"/>
      <c r="O178" s="25"/>
      <c r="P178" s="25"/>
      <c r="Q178" s="25"/>
      <c r="R178" s="25"/>
      <c r="S178" s="25"/>
      <c r="T178" s="25"/>
      <c r="U178" s="25"/>
      <c r="V178" s="25"/>
    </row>
    <row r="179" spans="1:22" s="22" customFormat="1" ht="14.1" customHeight="1">
      <c r="A179" s="643"/>
      <c r="B179" s="607"/>
      <c r="C179" s="23"/>
      <c r="D179" s="588" t="s">
        <v>73</v>
      </c>
      <c r="E179" s="589"/>
      <c r="F179" s="589"/>
      <c r="G179" s="589"/>
      <c r="H179" s="590"/>
      <c r="I179" s="329"/>
      <c r="J179" s="15" t="s">
        <v>170</v>
      </c>
      <c r="K179" s="24">
        <v>30</v>
      </c>
      <c r="L179" s="301">
        <f t="shared" si="3"/>
        <v>0</v>
      </c>
      <c r="N179" s="25"/>
      <c r="O179" s="25"/>
      <c r="P179" s="25"/>
      <c r="Q179" s="25"/>
      <c r="R179" s="25"/>
      <c r="S179" s="25"/>
      <c r="T179" s="25"/>
      <c r="U179" s="25"/>
      <c r="V179" s="25"/>
    </row>
    <row r="180" spans="1:22" s="22" customFormat="1" ht="14.1" customHeight="1">
      <c r="A180" s="598"/>
      <c r="B180" s="599"/>
      <c r="C180" s="23"/>
      <c r="D180" s="588" t="s">
        <v>74</v>
      </c>
      <c r="E180" s="589"/>
      <c r="F180" s="589"/>
      <c r="G180" s="589"/>
      <c r="H180" s="590"/>
      <c r="I180" s="329"/>
      <c r="J180" s="15" t="s">
        <v>162</v>
      </c>
      <c r="K180" s="24">
        <v>4</v>
      </c>
      <c r="L180" s="301">
        <f t="shared" si="3"/>
        <v>0</v>
      </c>
      <c r="N180" s="25"/>
      <c r="O180" s="25"/>
      <c r="P180" s="25"/>
      <c r="Q180" s="25"/>
      <c r="R180" s="25"/>
      <c r="S180" s="25"/>
      <c r="T180" s="25"/>
      <c r="U180" s="25"/>
      <c r="V180" s="25"/>
    </row>
    <row r="181" spans="1:22" s="22" customFormat="1" ht="14.1" customHeight="1">
      <c r="A181" s="598"/>
      <c r="B181" s="599"/>
      <c r="C181" s="23"/>
      <c r="D181" s="588" t="s">
        <v>75</v>
      </c>
      <c r="E181" s="589"/>
      <c r="F181" s="589"/>
      <c r="G181" s="589"/>
      <c r="H181" s="590"/>
      <c r="I181" s="329"/>
      <c r="J181" s="15" t="s">
        <v>170</v>
      </c>
      <c r="K181" s="24">
        <v>100</v>
      </c>
      <c r="L181" s="301">
        <f t="shared" si="3"/>
        <v>0</v>
      </c>
      <c r="N181" s="25"/>
      <c r="O181" s="25"/>
      <c r="P181" s="25"/>
      <c r="Q181" s="25"/>
      <c r="R181" s="25"/>
      <c r="S181" s="25"/>
      <c r="T181" s="25"/>
      <c r="U181" s="25"/>
      <c r="V181" s="25"/>
    </row>
    <row r="182" spans="1:22" s="22" customFormat="1" ht="14.1" customHeight="1">
      <c r="A182" s="598"/>
      <c r="B182" s="599"/>
      <c r="C182" s="23"/>
      <c r="D182" s="588" t="s">
        <v>76</v>
      </c>
      <c r="E182" s="589"/>
      <c r="F182" s="589"/>
      <c r="G182" s="589"/>
      <c r="H182" s="590"/>
      <c r="I182" s="329"/>
      <c r="J182" s="15" t="s">
        <v>165</v>
      </c>
      <c r="K182" s="24">
        <v>10000</v>
      </c>
      <c r="L182" s="301">
        <f t="shared" si="3"/>
        <v>0</v>
      </c>
      <c r="N182" s="25"/>
      <c r="O182" s="25"/>
      <c r="P182" s="25"/>
      <c r="Q182" s="25"/>
      <c r="R182" s="25"/>
      <c r="S182" s="25"/>
      <c r="T182" s="25"/>
      <c r="U182" s="25"/>
      <c r="V182" s="25"/>
    </row>
    <row r="183" spans="1:22" s="22" customFormat="1" ht="14.1" customHeight="1">
      <c r="A183" s="598"/>
      <c r="B183" s="599"/>
      <c r="C183" s="23"/>
      <c r="D183" s="588" t="s">
        <v>77</v>
      </c>
      <c r="E183" s="589"/>
      <c r="F183" s="589"/>
      <c r="G183" s="589"/>
      <c r="H183" s="590"/>
      <c r="I183" s="329"/>
      <c r="J183" s="15" t="s">
        <v>165</v>
      </c>
      <c r="K183" s="24">
        <v>500</v>
      </c>
      <c r="L183" s="301">
        <f t="shared" si="3"/>
        <v>0</v>
      </c>
      <c r="N183" s="25"/>
      <c r="O183" s="25"/>
      <c r="P183" s="25"/>
      <c r="Q183" s="25"/>
      <c r="R183" s="25"/>
      <c r="S183" s="25"/>
      <c r="T183" s="25"/>
      <c r="U183" s="25"/>
      <c r="V183" s="25"/>
    </row>
    <row r="184" spans="1:22" s="22" customFormat="1" ht="14.1" customHeight="1">
      <c r="A184" s="598"/>
      <c r="B184" s="599"/>
      <c r="C184" s="23"/>
      <c r="D184" s="588" t="s">
        <v>78</v>
      </c>
      <c r="E184" s="589"/>
      <c r="F184" s="589"/>
      <c r="G184" s="589"/>
      <c r="H184" s="590"/>
      <c r="I184" s="329"/>
      <c r="J184" s="15" t="s">
        <v>165</v>
      </c>
      <c r="K184" s="24">
        <v>500</v>
      </c>
      <c r="L184" s="301">
        <f t="shared" si="3"/>
        <v>0</v>
      </c>
      <c r="N184" s="25"/>
      <c r="O184" s="25"/>
      <c r="P184" s="25"/>
      <c r="Q184" s="25"/>
      <c r="R184" s="25"/>
      <c r="S184" s="25"/>
      <c r="T184" s="25"/>
      <c r="U184" s="25"/>
      <c r="V184" s="25"/>
    </row>
    <row r="185" spans="1:22" s="22" customFormat="1" ht="14.1" customHeight="1">
      <c r="A185" s="602"/>
      <c r="B185" s="603"/>
      <c r="C185" s="23"/>
      <c r="D185" s="588" t="s">
        <v>17</v>
      </c>
      <c r="E185" s="589"/>
      <c r="F185" s="589"/>
      <c r="G185" s="589"/>
      <c r="H185" s="590"/>
      <c r="I185" s="329"/>
      <c r="J185" s="15" t="s">
        <v>165</v>
      </c>
      <c r="K185" s="24">
        <v>850</v>
      </c>
      <c r="L185" s="301">
        <f t="shared" si="3"/>
        <v>0</v>
      </c>
      <c r="N185" s="25"/>
      <c r="O185" s="25"/>
      <c r="P185" s="25"/>
      <c r="Q185" s="25"/>
      <c r="R185" s="25"/>
      <c r="S185" s="25"/>
      <c r="T185" s="25"/>
      <c r="U185" s="25"/>
      <c r="V185" s="25"/>
    </row>
    <row r="186" spans="1:22" s="3" customFormat="1">
      <c r="A186" s="31"/>
      <c r="B186" s="31"/>
      <c r="C186" s="2"/>
      <c r="D186" s="31"/>
      <c r="E186" s="2"/>
      <c r="F186" s="2"/>
      <c r="G186" s="32"/>
      <c r="H186" s="2"/>
      <c r="I186" s="322"/>
      <c r="J186" s="2"/>
      <c r="K186" s="2"/>
      <c r="L186" s="2"/>
      <c r="N186" s="17"/>
      <c r="O186" s="17"/>
      <c r="P186" s="17"/>
      <c r="Q186" s="17"/>
      <c r="R186" s="17"/>
      <c r="S186" s="17"/>
      <c r="T186" s="17"/>
      <c r="U186" s="17"/>
      <c r="V186" s="17"/>
    </row>
    <row r="187" spans="1:22" s="3" customFormat="1">
      <c r="A187" s="610" t="s">
        <v>51</v>
      </c>
      <c r="B187" s="610"/>
      <c r="C187" s="610"/>
      <c r="D187" s="610"/>
      <c r="E187" s="610"/>
      <c r="F187" s="610"/>
      <c r="G187" s="610"/>
      <c r="H187" s="610"/>
      <c r="I187" s="610"/>
      <c r="J187" s="610"/>
      <c r="K187" s="610"/>
      <c r="L187" s="610"/>
      <c r="N187" s="17"/>
      <c r="O187" s="17"/>
      <c r="P187" s="17"/>
      <c r="Q187" s="17"/>
      <c r="R187" s="17"/>
      <c r="S187" s="17"/>
      <c r="T187" s="17"/>
      <c r="U187" s="17"/>
      <c r="V187" s="17"/>
    </row>
    <row r="188" spans="1:22" s="3" customFormat="1">
      <c r="A188" s="611"/>
      <c r="B188" s="611"/>
      <c r="C188" s="611"/>
      <c r="D188" s="611"/>
      <c r="E188" s="611"/>
      <c r="F188" s="611"/>
      <c r="G188" s="611"/>
      <c r="H188" s="611"/>
      <c r="I188" s="611"/>
      <c r="J188" s="611"/>
      <c r="K188" s="611"/>
      <c r="L188" s="611"/>
      <c r="N188" s="17"/>
      <c r="O188" s="17"/>
      <c r="P188" s="17"/>
      <c r="Q188" s="17"/>
      <c r="R188" s="17"/>
      <c r="S188" s="17"/>
      <c r="T188" s="17"/>
      <c r="U188" s="17"/>
      <c r="V188" s="17"/>
    </row>
    <row r="189" spans="1:22" s="3" customFormat="1">
      <c r="A189" s="612"/>
      <c r="B189" s="612"/>
      <c r="C189" s="612"/>
      <c r="D189" s="612"/>
      <c r="E189" s="612"/>
      <c r="F189" s="612"/>
      <c r="G189" s="612"/>
      <c r="H189" s="612"/>
      <c r="I189" s="612"/>
      <c r="J189" s="612"/>
      <c r="K189" s="612"/>
      <c r="L189" s="612"/>
      <c r="N189" s="17"/>
      <c r="O189" s="17"/>
      <c r="P189" s="17"/>
      <c r="Q189" s="17"/>
      <c r="R189" s="17"/>
      <c r="S189" s="17"/>
      <c r="T189" s="17"/>
      <c r="U189" s="17"/>
      <c r="V189" s="17"/>
    </row>
    <row r="190" spans="1:22" s="3" customFormat="1">
      <c r="A190" s="612"/>
      <c r="B190" s="612"/>
      <c r="C190" s="612"/>
      <c r="D190" s="612"/>
      <c r="E190" s="612"/>
      <c r="F190" s="612"/>
      <c r="G190" s="612"/>
      <c r="H190" s="612"/>
      <c r="I190" s="612"/>
      <c r="J190" s="612"/>
      <c r="K190" s="612"/>
      <c r="L190" s="612"/>
      <c r="N190" s="17"/>
      <c r="O190" s="17"/>
      <c r="P190" s="17"/>
      <c r="Q190" s="17"/>
      <c r="R190" s="17"/>
      <c r="S190" s="17"/>
      <c r="T190" s="17"/>
      <c r="U190" s="17"/>
      <c r="V190" s="17"/>
    </row>
    <row r="191" spans="1:22" s="3" customFormat="1">
      <c r="A191" s="612"/>
      <c r="B191" s="612"/>
      <c r="C191" s="612"/>
      <c r="D191" s="612"/>
      <c r="E191" s="612"/>
      <c r="F191" s="612"/>
      <c r="G191" s="612"/>
      <c r="H191" s="612"/>
      <c r="I191" s="612"/>
      <c r="J191" s="612"/>
      <c r="K191" s="612"/>
      <c r="L191" s="612"/>
      <c r="N191" s="17"/>
      <c r="O191" s="17"/>
      <c r="P191" s="17"/>
      <c r="Q191" s="17"/>
      <c r="R191" s="17"/>
      <c r="S191" s="17"/>
      <c r="T191" s="17"/>
      <c r="U191" s="17"/>
      <c r="V191" s="17"/>
    </row>
    <row r="192" spans="1:22" s="3" customFormat="1">
      <c r="A192" s="612"/>
      <c r="B192" s="612"/>
      <c r="C192" s="612"/>
      <c r="D192" s="612"/>
      <c r="E192" s="612"/>
      <c r="F192" s="612"/>
      <c r="G192" s="612"/>
      <c r="H192" s="612"/>
      <c r="I192" s="612"/>
      <c r="J192" s="612"/>
      <c r="K192" s="612"/>
      <c r="L192" s="612"/>
      <c r="N192" s="17"/>
      <c r="O192" s="17"/>
      <c r="P192" s="17"/>
      <c r="Q192" s="17"/>
      <c r="R192" s="17"/>
      <c r="S192" s="17"/>
      <c r="T192" s="17"/>
      <c r="U192" s="17"/>
      <c r="V192" s="17"/>
    </row>
    <row r="193" spans="1:22" s="3" customFormat="1">
      <c r="A193" s="612"/>
      <c r="B193" s="612"/>
      <c r="C193" s="612"/>
      <c r="D193" s="612"/>
      <c r="E193" s="612"/>
      <c r="F193" s="612"/>
      <c r="G193" s="612"/>
      <c r="H193" s="612"/>
      <c r="I193" s="612"/>
      <c r="J193" s="612"/>
      <c r="K193" s="612"/>
      <c r="L193" s="612"/>
      <c r="N193" s="17"/>
      <c r="O193" s="17"/>
      <c r="P193" s="17"/>
      <c r="Q193" s="17"/>
      <c r="R193" s="17"/>
      <c r="S193" s="17"/>
      <c r="T193" s="17"/>
      <c r="U193" s="17"/>
      <c r="V193" s="17"/>
    </row>
    <row r="194" spans="1:22" s="8" customFormat="1" ht="12.75">
      <c r="A194" s="13"/>
      <c r="B194" s="13"/>
      <c r="C194" s="13"/>
      <c r="D194" s="13"/>
      <c r="E194" s="13"/>
      <c r="F194" s="13"/>
      <c r="G194" s="13"/>
      <c r="H194" s="13"/>
      <c r="I194" s="331"/>
      <c r="J194" s="13"/>
      <c r="K194" s="13"/>
      <c r="L194" s="13"/>
      <c r="N194" s="16"/>
      <c r="O194" s="16"/>
      <c r="P194" s="16"/>
      <c r="Q194" s="16"/>
      <c r="R194" s="16"/>
      <c r="S194" s="16"/>
      <c r="T194" s="16"/>
      <c r="U194" s="16"/>
      <c r="V194" s="16"/>
    </row>
    <row r="195" spans="1:22" s="8" customFormat="1">
      <c r="A195" s="615" t="s">
        <v>438</v>
      </c>
      <c r="B195" s="615"/>
      <c r="C195" s="615"/>
      <c r="D195" s="615"/>
      <c r="E195" s="615"/>
      <c r="F195" s="615"/>
      <c r="G195" s="615"/>
      <c r="H195" s="615"/>
      <c r="I195" s="615"/>
      <c r="J195" s="615"/>
      <c r="K195" s="615"/>
      <c r="L195" s="615"/>
      <c r="N195" s="16"/>
      <c r="O195" s="16"/>
      <c r="P195" s="16"/>
      <c r="Q195" s="16"/>
      <c r="R195" s="16"/>
      <c r="S195" s="16"/>
      <c r="T195" s="16"/>
      <c r="U195" s="16"/>
      <c r="V195" s="16"/>
    </row>
    <row r="196" spans="1:22" s="3" customFormat="1" ht="21.75" thickBot="1">
      <c r="A196" s="600" t="s">
        <v>52</v>
      </c>
      <c r="B196" s="600"/>
      <c r="C196" s="600"/>
      <c r="D196" s="600"/>
      <c r="E196" s="600"/>
      <c r="F196" s="600"/>
      <c r="G196" s="600"/>
      <c r="H196" s="600"/>
      <c r="I196" s="600"/>
      <c r="J196" s="600"/>
      <c r="K196" s="600"/>
      <c r="L196" s="600"/>
      <c r="N196" s="17"/>
      <c r="O196" s="17"/>
      <c r="P196" s="17"/>
      <c r="Q196" s="17"/>
      <c r="R196" s="17"/>
      <c r="S196" s="17"/>
      <c r="T196" s="17"/>
      <c r="U196" s="17"/>
      <c r="V196" s="17"/>
    </row>
    <row r="197" spans="1:22" s="22" customFormat="1" ht="14.1" customHeight="1" thickBot="1">
      <c r="A197" s="591" t="s">
        <v>158</v>
      </c>
      <c r="B197" s="592"/>
      <c r="C197" s="298" t="s">
        <v>27</v>
      </c>
      <c r="D197" s="592" t="s">
        <v>159</v>
      </c>
      <c r="E197" s="592"/>
      <c r="F197" s="592"/>
      <c r="G197" s="592"/>
      <c r="H197" s="592"/>
      <c r="I197" s="298" t="s">
        <v>28</v>
      </c>
      <c r="J197" s="298" t="s">
        <v>161</v>
      </c>
      <c r="K197" s="298" t="s">
        <v>15</v>
      </c>
      <c r="L197" s="299" t="s">
        <v>160</v>
      </c>
      <c r="M197" s="16"/>
      <c r="N197" s="25"/>
      <c r="O197" s="25"/>
      <c r="P197" s="25"/>
      <c r="Q197" s="25"/>
      <c r="R197" s="25"/>
      <c r="S197" s="25"/>
      <c r="T197" s="25"/>
      <c r="U197" s="25"/>
      <c r="V197" s="25"/>
    </row>
    <row r="198" spans="1:22" s="22" customFormat="1" ht="12.75">
      <c r="A198" s="598" t="s">
        <v>22</v>
      </c>
      <c r="B198" s="599"/>
      <c r="C198" s="295"/>
      <c r="D198" s="593" t="s">
        <v>79</v>
      </c>
      <c r="E198" s="594"/>
      <c r="F198" s="594"/>
      <c r="G198" s="594"/>
      <c r="H198" s="595"/>
      <c r="I198" s="330"/>
      <c r="J198" s="296" t="s">
        <v>165</v>
      </c>
      <c r="K198" s="297">
        <v>6000</v>
      </c>
      <c r="L198" s="300">
        <f>SUM(I198*K198)</f>
        <v>0</v>
      </c>
      <c r="N198" s="25"/>
      <c r="O198" s="25"/>
      <c r="P198" s="25"/>
      <c r="Q198" s="25"/>
      <c r="R198" s="25"/>
      <c r="S198" s="25"/>
      <c r="T198" s="25"/>
      <c r="U198" s="25"/>
      <c r="V198" s="25"/>
    </row>
    <row r="199" spans="1:22" s="22" customFormat="1" ht="12.75">
      <c r="A199" s="644"/>
      <c r="B199" s="645"/>
      <c r="C199" s="23"/>
      <c r="D199" s="588" t="s">
        <v>80</v>
      </c>
      <c r="E199" s="589"/>
      <c r="F199" s="589"/>
      <c r="G199" s="589"/>
      <c r="H199" s="590"/>
      <c r="I199" s="329"/>
      <c r="J199" s="15" t="s">
        <v>165</v>
      </c>
      <c r="K199" s="24">
        <v>4000</v>
      </c>
      <c r="L199" s="301">
        <f t="shared" ref="L199:L213" si="5">SUM(I199*K199)</f>
        <v>0</v>
      </c>
      <c r="N199" s="25"/>
      <c r="O199" s="25"/>
      <c r="P199" s="25"/>
      <c r="Q199" s="25"/>
      <c r="R199" s="25"/>
      <c r="S199" s="25"/>
      <c r="T199" s="25"/>
      <c r="U199" s="25"/>
      <c r="V199" s="25"/>
    </row>
    <row r="200" spans="1:22" s="22" customFormat="1" ht="12.75">
      <c r="A200" s="598"/>
      <c r="B200" s="599"/>
      <c r="C200" s="23"/>
      <c r="D200" s="588" t="s">
        <v>81</v>
      </c>
      <c r="E200" s="589"/>
      <c r="F200" s="589"/>
      <c r="G200" s="589"/>
      <c r="H200" s="590"/>
      <c r="I200" s="329"/>
      <c r="J200" s="15" t="s">
        <v>165</v>
      </c>
      <c r="K200" s="24">
        <v>1700</v>
      </c>
      <c r="L200" s="301">
        <f t="shared" si="5"/>
        <v>0</v>
      </c>
      <c r="N200" s="25"/>
      <c r="O200" s="25"/>
      <c r="P200" s="25"/>
      <c r="Q200" s="25"/>
      <c r="R200" s="25"/>
      <c r="S200" s="25"/>
      <c r="T200" s="25"/>
      <c r="U200" s="25"/>
      <c r="V200" s="25"/>
    </row>
    <row r="201" spans="1:22" s="22" customFormat="1" ht="12.75">
      <c r="A201" s="598"/>
      <c r="B201" s="599"/>
      <c r="C201" s="23"/>
      <c r="D201" s="588" t="s">
        <v>82</v>
      </c>
      <c r="E201" s="589"/>
      <c r="F201" s="589"/>
      <c r="G201" s="589"/>
      <c r="H201" s="590"/>
      <c r="I201" s="329"/>
      <c r="J201" s="15" t="s">
        <v>165</v>
      </c>
      <c r="K201" s="24">
        <v>2000</v>
      </c>
      <c r="L201" s="301">
        <f t="shared" si="5"/>
        <v>0</v>
      </c>
      <c r="N201" s="25"/>
      <c r="O201" s="25"/>
      <c r="P201" s="25"/>
      <c r="Q201" s="25"/>
      <c r="R201" s="25"/>
      <c r="S201" s="25"/>
      <c r="T201" s="25"/>
      <c r="U201" s="25"/>
      <c r="V201" s="25"/>
    </row>
    <row r="202" spans="1:22" s="22" customFormat="1" ht="12.75">
      <c r="A202" s="598"/>
      <c r="B202" s="599"/>
      <c r="C202" s="23"/>
      <c r="D202" s="588" t="s">
        <v>83</v>
      </c>
      <c r="E202" s="589"/>
      <c r="F202" s="589"/>
      <c r="G202" s="589"/>
      <c r="H202" s="590"/>
      <c r="I202" s="329"/>
      <c r="J202" s="15" t="s">
        <v>165</v>
      </c>
      <c r="K202" s="24">
        <v>2300</v>
      </c>
      <c r="L202" s="301">
        <f t="shared" si="5"/>
        <v>0</v>
      </c>
      <c r="N202" s="25"/>
      <c r="O202" s="25"/>
      <c r="P202" s="25"/>
      <c r="Q202" s="25"/>
      <c r="R202" s="25"/>
      <c r="S202" s="25"/>
      <c r="T202" s="25"/>
      <c r="U202" s="25"/>
      <c r="V202" s="25"/>
    </row>
    <row r="203" spans="1:22" s="22" customFormat="1" ht="12.75">
      <c r="A203" s="598"/>
      <c r="B203" s="599"/>
      <c r="C203" s="23"/>
      <c r="D203" s="588" t="s">
        <v>84</v>
      </c>
      <c r="E203" s="589"/>
      <c r="F203" s="589"/>
      <c r="G203" s="589"/>
      <c r="H203" s="590"/>
      <c r="I203" s="329"/>
      <c r="J203" s="15" t="s">
        <v>165</v>
      </c>
      <c r="K203" s="24">
        <v>6500</v>
      </c>
      <c r="L203" s="301">
        <f t="shared" si="5"/>
        <v>0</v>
      </c>
      <c r="N203" s="25"/>
      <c r="O203" s="25"/>
      <c r="P203" s="25"/>
      <c r="Q203" s="25"/>
      <c r="R203" s="25"/>
      <c r="S203" s="25"/>
      <c r="T203" s="25"/>
      <c r="U203" s="25"/>
      <c r="V203" s="25"/>
    </row>
    <row r="204" spans="1:22" s="22" customFormat="1" ht="12.75">
      <c r="A204" s="598"/>
      <c r="B204" s="599"/>
      <c r="C204" s="23"/>
      <c r="D204" s="588" t="s">
        <v>85</v>
      </c>
      <c r="E204" s="589"/>
      <c r="F204" s="589"/>
      <c r="G204" s="589"/>
      <c r="H204" s="590"/>
      <c r="I204" s="329"/>
      <c r="J204" s="15" t="s">
        <v>165</v>
      </c>
      <c r="K204" s="24">
        <v>3000</v>
      </c>
      <c r="L204" s="301">
        <f t="shared" si="5"/>
        <v>0</v>
      </c>
      <c r="N204" s="25"/>
      <c r="O204" s="25"/>
      <c r="P204" s="25"/>
      <c r="Q204" s="25"/>
      <c r="R204" s="25"/>
      <c r="S204" s="25"/>
      <c r="T204" s="25"/>
      <c r="U204" s="25"/>
      <c r="V204" s="25"/>
    </row>
    <row r="205" spans="1:22" s="22" customFormat="1" ht="12.75">
      <c r="A205" s="598"/>
      <c r="B205" s="599"/>
      <c r="C205" s="23"/>
      <c r="D205" s="588" t="s">
        <v>86</v>
      </c>
      <c r="E205" s="589"/>
      <c r="F205" s="589"/>
      <c r="G205" s="589"/>
      <c r="H205" s="590"/>
      <c r="I205" s="329"/>
      <c r="J205" s="15" t="s">
        <v>165</v>
      </c>
      <c r="K205" s="24">
        <v>600</v>
      </c>
      <c r="L205" s="301">
        <f t="shared" si="5"/>
        <v>0</v>
      </c>
      <c r="N205" s="25"/>
      <c r="O205" s="25"/>
      <c r="P205" s="25"/>
      <c r="Q205" s="25"/>
      <c r="R205" s="25"/>
      <c r="S205" s="25"/>
      <c r="T205" s="25"/>
      <c r="U205" s="25"/>
      <c r="V205" s="25"/>
    </row>
    <row r="206" spans="1:22" s="22" customFormat="1" ht="12.75">
      <c r="A206" s="602"/>
      <c r="B206" s="603"/>
      <c r="C206" s="23"/>
      <c r="D206" s="588" t="s">
        <v>87</v>
      </c>
      <c r="E206" s="589"/>
      <c r="F206" s="589"/>
      <c r="G206" s="589"/>
      <c r="H206" s="590"/>
      <c r="I206" s="329"/>
      <c r="J206" s="15" t="s">
        <v>165</v>
      </c>
      <c r="K206" s="24">
        <v>500</v>
      </c>
      <c r="L206" s="301">
        <f t="shared" si="5"/>
        <v>0</v>
      </c>
      <c r="N206" s="25"/>
      <c r="O206" s="25"/>
      <c r="P206" s="25"/>
      <c r="Q206" s="25"/>
      <c r="R206" s="25"/>
      <c r="S206" s="25"/>
      <c r="T206" s="25"/>
      <c r="U206" s="25"/>
      <c r="V206" s="25"/>
    </row>
    <row r="207" spans="1:22" s="22" customFormat="1" ht="12.75">
      <c r="A207" s="604" t="s">
        <v>23</v>
      </c>
      <c r="B207" s="605"/>
      <c r="C207" s="23"/>
      <c r="D207" s="588" t="s">
        <v>18</v>
      </c>
      <c r="E207" s="589"/>
      <c r="F207" s="589"/>
      <c r="G207" s="589"/>
      <c r="H207" s="590"/>
      <c r="I207" s="329"/>
      <c r="J207" s="15" t="s">
        <v>165</v>
      </c>
      <c r="K207" s="24">
        <v>7000</v>
      </c>
      <c r="L207" s="301">
        <f t="shared" si="5"/>
        <v>0</v>
      </c>
      <c r="N207" s="25"/>
      <c r="O207" s="25"/>
      <c r="P207" s="25"/>
      <c r="Q207" s="25"/>
      <c r="R207" s="25"/>
      <c r="S207" s="25"/>
      <c r="T207" s="25"/>
      <c r="U207" s="25"/>
      <c r="V207" s="25"/>
    </row>
    <row r="208" spans="1:22" s="22" customFormat="1" ht="12.75">
      <c r="A208" s="598"/>
      <c r="B208" s="599"/>
      <c r="C208" s="23"/>
      <c r="D208" s="588" t="s">
        <v>88</v>
      </c>
      <c r="E208" s="589"/>
      <c r="F208" s="589"/>
      <c r="G208" s="589"/>
      <c r="H208" s="590"/>
      <c r="I208" s="329"/>
      <c r="J208" s="15" t="s">
        <v>165</v>
      </c>
      <c r="K208" s="24">
        <v>1500</v>
      </c>
      <c r="L208" s="301">
        <f t="shared" si="5"/>
        <v>0</v>
      </c>
      <c r="N208" s="25"/>
      <c r="O208" s="25"/>
      <c r="P208" s="25"/>
      <c r="Q208" s="25"/>
      <c r="R208" s="25"/>
      <c r="S208" s="25"/>
      <c r="T208" s="25"/>
      <c r="U208" s="25"/>
      <c r="V208" s="25"/>
    </row>
    <row r="209" spans="1:22" s="22" customFormat="1" ht="12.75">
      <c r="A209" s="602"/>
      <c r="B209" s="603"/>
      <c r="C209" s="23"/>
      <c r="D209" s="588" t="s">
        <v>89</v>
      </c>
      <c r="E209" s="589"/>
      <c r="F209" s="589"/>
      <c r="G209" s="589"/>
      <c r="H209" s="590"/>
      <c r="I209" s="329"/>
      <c r="J209" s="15" t="s">
        <v>165</v>
      </c>
      <c r="K209" s="24">
        <v>600</v>
      </c>
      <c r="L209" s="301">
        <f t="shared" si="5"/>
        <v>0</v>
      </c>
      <c r="N209" s="25"/>
      <c r="O209" s="25"/>
      <c r="P209" s="25"/>
      <c r="Q209" s="25"/>
      <c r="R209" s="25"/>
      <c r="S209" s="25"/>
      <c r="T209" s="25"/>
      <c r="U209" s="25"/>
      <c r="V209" s="25"/>
    </row>
    <row r="210" spans="1:22" s="22" customFormat="1" ht="12.75">
      <c r="A210" s="604" t="s">
        <v>24</v>
      </c>
      <c r="B210" s="605"/>
      <c r="C210" s="23"/>
      <c r="D210" s="588" t="s">
        <v>8</v>
      </c>
      <c r="E210" s="589"/>
      <c r="F210" s="589"/>
      <c r="G210" s="589"/>
      <c r="H210" s="590"/>
      <c r="I210" s="329"/>
      <c r="J210" s="15" t="s">
        <v>165</v>
      </c>
      <c r="K210" s="24">
        <v>7000</v>
      </c>
      <c r="L210" s="301">
        <f t="shared" si="5"/>
        <v>0</v>
      </c>
      <c r="N210" s="25"/>
      <c r="O210" s="25"/>
      <c r="P210" s="25"/>
      <c r="Q210" s="25"/>
      <c r="R210" s="25"/>
      <c r="S210" s="25"/>
      <c r="T210" s="25"/>
      <c r="U210" s="25"/>
      <c r="V210" s="25"/>
    </row>
    <row r="211" spans="1:22" s="22" customFormat="1" ht="12.75">
      <c r="A211" s="598"/>
      <c r="B211" s="599"/>
      <c r="C211" s="23"/>
      <c r="D211" s="588" t="s">
        <v>19</v>
      </c>
      <c r="E211" s="589"/>
      <c r="F211" s="589"/>
      <c r="G211" s="589"/>
      <c r="H211" s="590"/>
      <c r="I211" s="329"/>
      <c r="J211" s="15" t="s">
        <v>165</v>
      </c>
      <c r="K211" s="24">
        <v>3000</v>
      </c>
      <c r="L211" s="301">
        <f t="shared" si="5"/>
        <v>0</v>
      </c>
      <c r="N211" s="25"/>
      <c r="O211" s="25"/>
      <c r="P211" s="25"/>
      <c r="Q211" s="25"/>
      <c r="R211" s="25"/>
      <c r="S211" s="25"/>
      <c r="T211" s="25"/>
      <c r="U211" s="25"/>
      <c r="V211" s="25"/>
    </row>
    <row r="212" spans="1:22" s="22" customFormat="1" ht="12.75">
      <c r="A212" s="598"/>
      <c r="B212" s="599"/>
      <c r="C212" s="23"/>
      <c r="D212" s="588" t="s">
        <v>90</v>
      </c>
      <c r="E212" s="589"/>
      <c r="F212" s="589"/>
      <c r="G212" s="589"/>
      <c r="H212" s="590"/>
      <c r="I212" s="329"/>
      <c r="J212" s="15" t="s">
        <v>165</v>
      </c>
      <c r="K212" s="24">
        <v>2000</v>
      </c>
      <c r="L212" s="301">
        <f t="shared" si="5"/>
        <v>0</v>
      </c>
      <c r="N212" s="25"/>
      <c r="O212" s="25"/>
      <c r="P212" s="25"/>
      <c r="Q212" s="25"/>
      <c r="R212" s="25"/>
      <c r="S212" s="25"/>
      <c r="T212" s="25"/>
      <c r="U212" s="25"/>
      <c r="V212" s="25"/>
    </row>
    <row r="213" spans="1:22" s="22" customFormat="1" ht="12.75">
      <c r="A213" s="602"/>
      <c r="B213" s="603"/>
      <c r="C213" s="23"/>
      <c r="D213" s="588" t="s">
        <v>91</v>
      </c>
      <c r="E213" s="589"/>
      <c r="F213" s="589"/>
      <c r="G213" s="589"/>
      <c r="H213" s="590"/>
      <c r="I213" s="329"/>
      <c r="J213" s="15" t="s">
        <v>165</v>
      </c>
      <c r="K213" s="24">
        <v>2000</v>
      </c>
      <c r="L213" s="301">
        <f t="shared" si="5"/>
        <v>0</v>
      </c>
      <c r="N213" s="25"/>
      <c r="O213" s="25"/>
      <c r="P213" s="25"/>
      <c r="Q213" s="25"/>
      <c r="R213" s="25"/>
      <c r="S213" s="25"/>
      <c r="T213" s="25"/>
      <c r="U213" s="25"/>
      <c r="V213" s="25"/>
    </row>
    <row r="214" spans="1:22" s="3" customFormat="1">
      <c r="A214" s="31"/>
      <c r="B214" s="31"/>
      <c r="C214" s="2"/>
      <c r="D214" s="31"/>
      <c r="E214" s="2"/>
      <c r="F214" s="2"/>
      <c r="G214" s="32"/>
      <c r="H214" s="2"/>
      <c r="I214" s="322"/>
      <c r="J214" s="2"/>
      <c r="K214" s="2"/>
      <c r="L214" s="2"/>
      <c r="N214" s="17"/>
      <c r="O214" s="17"/>
      <c r="P214" s="17"/>
      <c r="Q214" s="17"/>
      <c r="R214" s="17"/>
      <c r="S214" s="17"/>
      <c r="T214" s="17"/>
      <c r="U214" s="17"/>
      <c r="V214" s="17"/>
    </row>
    <row r="215" spans="1:22" s="3" customFormat="1" ht="21.75" thickBot="1">
      <c r="A215" s="600" t="s">
        <v>21</v>
      </c>
      <c r="B215" s="600"/>
      <c r="C215" s="600"/>
      <c r="D215" s="600"/>
      <c r="E215" s="600"/>
      <c r="F215" s="600"/>
      <c r="G215" s="600"/>
      <c r="H215" s="600"/>
      <c r="I215" s="600"/>
      <c r="J215" s="600"/>
      <c r="K215" s="600"/>
      <c r="L215" s="600"/>
      <c r="N215" s="17"/>
      <c r="O215" s="17"/>
      <c r="P215" s="17"/>
      <c r="Q215" s="17"/>
      <c r="R215" s="17"/>
      <c r="S215" s="17"/>
      <c r="T215" s="17"/>
      <c r="U215" s="17"/>
      <c r="V215" s="17"/>
    </row>
    <row r="216" spans="1:22" s="22" customFormat="1" ht="14.1" customHeight="1" thickBot="1">
      <c r="A216" s="591" t="s">
        <v>158</v>
      </c>
      <c r="B216" s="592"/>
      <c r="C216" s="298" t="s">
        <v>27</v>
      </c>
      <c r="D216" s="592" t="s">
        <v>159</v>
      </c>
      <c r="E216" s="592"/>
      <c r="F216" s="592"/>
      <c r="G216" s="592"/>
      <c r="H216" s="592"/>
      <c r="I216" s="298" t="s">
        <v>28</v>
      </c>
      <c r="J216" s="298" t="s">
        <v>161</v>
      </c>
      <c r="K216" s="298" t="s">
        <v>15</v>
      </c>
      <c r="L216" s="299" t="s">
        <v>160</v>
      </c>
      <c r="M216" s="16"/>
      <c r="N216" s="25"/>
      <c r="O216" s="25"/>
      <c r="P216" s="25"/>
      <c r="Q216" s="25"/>
      <c r="R216" s="25"/>
      <c r="S216" s="25"/>
      <c r="T216" s="25"/>
      <c r="U216" s="25"/>
      <c r="V216" s="25"/>
    </row>
    <row r="217" spans="1:22" s="22" customFormat="1" ht="12.75">
      <c r="A217" s="598" t="s">
        <v>47</v>
      </c>
      <c r="B217" s="599"/>
      <c r="C217" s="295"/>
      <c r="D217" s="593" t="s">
        <v>92</v>
      </c>
      <c r="E217" s="594"/>
      <c r="F217" s="594"/>
      <c r="G217" s="594"/>
      <c r="H217" s="595"/>
      <c r="I217" s="330"/>
      <c r="J217" s="296" t="s">
        <v>165</v>
      </c>
      <c r="K217" s="297">
        <v>500</v>
      </c>
      <c r="L217" s="300">
        <f>SUM(I217*K217)</f>
        <v>0</v>
      </c>
      <c r="N217" s="25"/>
      <c r="O217" s="25"/>
      <c r="P217" s="25"/>
      <c r="Q217" s="25"/>
      <c r="R217" s="25"/>
      <c r="S217" s="25"/>
      <c r="T217" s="25"/>
      <c r="U217" s="25"/>
      <c r="V217" s="25"/>
    </row>
    <row r="218" spans="1:22" s="22" customFormat="1" ht="12.75">
      <c r="A218" s="602"/>
      <c r="B218" s="603"/>
      <c r="C218" s="23"/>
      <c r="D218" s="588" t="s">
        <v>93</v>
      </c>
      <c r="E218" s="589"/>
      <c r="F218" s="589"/>
      <c r="G218" s="589"/>
      <c r="H218" s="590"/>
      <c r="I218" s="329"/>
      <c r="J218" s="15" t="s">
        <v>165</v>
      </c>
      <c r="K218" s="24">
        <v>500</v>
      </c>
      <c r="L218" s="301">
        <f t="shared" ref="L218:L233" si="6">SUM(I218*K218)</f>
        <v>0</v>
      </c>
      <c r="N218" s="25"/>
      <c r="O218" s="25"/>
      <c r="P218" s="25"/>
      <c r="Q218" s="25"/>
      <c r="R218" s="25"/>
      <c r="S218" s="25"/>
      <c r="T218" s="25"/>
      <c r="U218" s="25"/>
      <c r="V218" s="25"/>
    </row>
    <row r="219" spans="1:22" s="22" customFormat="1" ht="12.75">
      <c r="A219" s="604" t="s">
        <v>218</v>
      </c>
      <c r="B219" s="605"/>
      <c r="C219" s="23"/>
      <c r="D219" s="588" t="s">
        <v>94</v>
      </c>
      <c r="E219" s="589"/>
      <c r="F219" s="589"/>
      <c r="G219" s="589"/>
      <c r="H219" s="590"/>
      <c r="I219" s="329"/>
      <c r="J219" s="15" t="s">
        <v>181</v>
      </c>
      <c r="K219" s="24">
        <v>1000</v>
      </c>
      <c r="L219" s="301">
        <f t="shared" si="6"/>
        <v>0</v>
      </c>
      <c r="N219" s="25"/>
      <c r="O219" s="25"/>
      <c r="P219" s="25"/>
      <c r="Q219" s="25"/>
      <c r="R219" s="25"/>
      <c r="S219" s="25"/>
      <c r="T219" s="25"/>
      <c r="U219" s="25"/>
      <c r="V219" s="25"/>
    </row>
    <row r="220" spans="1:22" s="22" customFormat="1" ht="12.75">
      <c r="A220" s="643" t="s">
        <v>336</v>
      </c>
      <c r="B220" s="607"/>
      <c r="C220" s="23"/>
      <c r="D220" s="588" t="s">
        <v>95</v>
      </c>
      <c r="E220" s="589"/>
      <c r="F220" s="589"/>
      <c r="G220" s="589"/>
      <c r="H220" s="590"/>
      <c r="I220" s="329"/>
      <c r="J220" s="15" t="s">
        <v>181</v>
      </c>
      <c r="K220" s="24">
        <v>2000</v>
      </c>
      <c r="L220" s="301">
        <f t="shared" si="6"/>
        <v>0</v>
      </c>
      <c r="N220" s="25"/>
      <c r="O220" s="25"/>
      <c r="P220" s="25"/>
      <c r="Q220" s="25"/>
      <c r="R220" s="25"/>
      <c r="S220" s="25"/>
      <c r="T220" s="25"/>
      <c r="U220" s="25"/>
      <c r="V220" s="25"/>
    </row>
    <row r="221" spans="1:22" s="22" customFormat="1" ht="12.75">
      <c r="A221" s="667"/>
      <c r="B221" s="609"/>
      <c r="C221" s="23"/>
      <c r="D221" s="588" t="s">
        <v>96</v>
      </c>
      <c r="E221" s="589"/>
      <c r="F221" s="589"/>
      <c r="G221" s="589"/>
      <c r="H221" s="590"/>
      <c r="I221" s="329"/>
      <c r="J221" s="15" t="s">
        <v>181</v>
      </c>
      <c r="K221" s="24">
        <v>1500</v>
      </c>
      <c r="L221" s="301">
        <f t="shared" si="6"/>
        <v>0</v>
      </c>
      <c r="N221" s="25"/>
      <c r="O221" s="25"/>
      <c r="P221" s="25"/>
      <c r="Q221" s="25"/>
      <c r="R221" s="25"/>
      <c r="S221" s="25"/>
      <c r="T221" s="25"/>
      <c r="U221" s="25"/>
      <c r="V221" s="25"/>
    </row>
    <row r="222" spans="1:22" s="22" customFormat="1" ht="12.75">
      <c r="A222" s="604" t="s">
        <v>217</v>
      </c>
      <c r="B222" s="605"/>
      <c r="C222" s="23"/>
      <c r="D222" s="588" t="s">
        <v>97</v>
      </c>
      <c r="E222" s="589"/>
      <c r="F222" s="589"/>
      <c r="G222" s="589"/>
      <c r="H222" s="590"/>
      <c r="I222" s="329"/>
      <c r="J222" s="15" t="s">
        <v>165</v>
      </c>
      <c r="K222" s="24">
        <v>1500</v>
      </c>
      <c r="L222" s="301">
        <f t="shared" si="6"/>
        <v>0</v>
      </c>
      <c r="N222" s="25"/>
      <c r="O222" s="25"/>
      <c r="P222" s="25"/>
      <c r="Q222" s="25"/>
      <c r="R222" s="25"/>
      <c r="S222" s="25"/>
      <c r="T222" s="25"/>
      <c r="U222" s="25"/>
      <c r="V222" s="25"/>
    </row>
    <row r="223" spans="1:22" s="22" customFormat="1" ht="12.75">
      <c r="A223" s="643" t="s">
        <v>336</v>
      </c>
      <c r="B223" s="607"/>
      <c r="C223" s="23"/>
      <c r="D223" s="588" t="s">
        <v>9</v>
      </c>
      <c r="E223" s="589"/>
      <c r="F223" s="589"/>
      <c r="G223" s="589"/>
      <c r="H223" s="590"/>
      <c r="I223" s="329"/>
      <c r="J223" s="15" t="s">
        <v>165</v>
      </c>
      <c r="K223" s="24">
        <v>5000</v>
      </c>
      <c r="L223" s="301">
        <f t="shared" si="6"/>
        <v>0</v>
      </c>
      <c r="N223" s="25"/>
      <c r="O223" s="25"/>
      <c r="P223" s="25"/>
      <c r="Q223" s="25"/>
      <c r="R223" s="25"/>
      <c r="S223" s="25"/>
      <c r="T223" s="25"/>
      <c r="U223" s="25"/>
      <c r="V223" s="25"/>
    </row>
    <row r="224" spans="1:22" s="22" customFormat="1" ht="12.75">
      <c r="A224" s="643"/>
      <c r="B224" s="607"/>
      <c r="C224" s="23"/>
      <c r="D224" s="588" t="s">
        <v>10</v>
      </c>
      <c r="E224" s="589"/>
      <c r="F224" s="589"/>
      <c r="G224" s="589"/>
      <c r="H224" s="590"/>
      <c r="I224" s="329"/>
      <c r="J224" s="15" t="s">
        <v>165</v>
      </c>
      <c r="K224" s="24">
        <v>600</v>
      </c>
      <c r="L224" s="301">
        <f t="shared" si="6"/>
        <v>0</v>
      </c>
      <c r="N224" s="25"/>
      <c r="O224" s="25"/>
      <c r="P224" s="25"/>
      <c r="Q224" s="25"/>
      <c r="R224" s="25"/>
      <c r="S224" s="25"/>
      <c r="T224" s="25"/>
      <c r="U224" s="25"/>
      <c r="V224" s="25"/>
    </row>
    <row r="225" spans="1:22" s="22" customFormat="1" ht="12.75">
      <c r="A225" s="598"/>
      <c r="B225" s="599"/>
      <c r="C225" s="23"/>
      <c r="D225" s="588" t="s">
        <v>11</v>
      </c>
      <c r="E225" s="589"/>
      <c r="F225" s="589"/>
      <c r="G225" s="589"/>
      <c r="H225" s="590"/>
      <c r="I225" s="329"/>
      <c r="J225" s="15" t="s">
        <v>165</v>
      </c>
      <c r="K225" s="24">
        <v>750</v>
      </c>
      <c r="L225" s="301">
        <f t="shared" si="6"/>
        <v>0</v>
      </c>
      <c r="N225" s="25"/>
      <c r="O225" s="25"/>
      <c r="P225" s="25"/>
      <c r="Q225" s="25"/>
      <c r="R225" s="25"/>
      <c r="S225" s="25"/>
      <c r="T225" s="25"/>
      <c r="U225" s="25"/>
      <c r="V225" s="25"/>
    </row>
    <row r="226" spans="1:22" s="22" customFormat="1" ht="12.75">
      <c r="A226" s="598"/>
      <c r="B226" s="599"/>
      <c r="C226" s="23"/>
      <c r="D226" s="588" t="s">
        <v>12</v>
      </c>
      <c r="E226" s="589"/>
      <c r="F226" s="589"/>
      <c r="G226" s="589"/>
      <c r="H226" s="590"/>
      <c r="I226" s="329"/>
      <c r="J226" s="15" t="s">
        <v>165</v>
      </c>
      <c r="K226" s="24">
        <v>1500</v>
      </c>
      <c r="L226" s="301">
        <f t="shared" si="6"/>
        <v>0</v>
      </c>
      <c r="N226" s="25"/>
      <c r="O226" s="25"/>
      <c r="P226" s="25"/>
      <c r="Q226" s="25"/>
      <c r="R226" s="25"/>
      <c r="S226" s="25"/>
      <c r="T226" s="25"/>
      <c r="U226" s="25"/>
      <c r="V226" s="25"/>
    </row>
    <row r="227" spans="1:22" s="22" customFormat="1" ht="12.75">
      <c r="A227" s="598"/>
      <c r="B227" s="599"/>
      <c r="C227" s="23"/>
      <c r="D227" s="588" t="s">
        <v>345</v>
      </c>
      <c r="E227" s="589"/>
      <c r="F227" s="589"/>
      <c r="G227" s="589"/>
      <c r="H227" s="590"/>
      <c r="I227" s="329"/>
      <c r="J227" s="15" t="s">
        <v>165</v>
      </c>
      <c r="K227" s="24">
        <v>5000</v>
      </c>
      <c r="L227" s="301">
        <f t="shared" si="6"/>
        <v>0</v>
      </c>
      <c r="N227" s="25"/>
      <c r="O227" s="25"/>
      <c r="P227" s="25"/>
      <c r="Q227" s="25"/>
      <c r="R227" s="25"/>
      <c r="S227" s="25"/>
      <c r="T227" s="25"/>
      <c r="U227" s="25"/>
      <c r="V227" s="25"/>
    </row>
    <row r="228" spans="1:22" s="22" customFormat="1" ht="12.75">
      <c r="A228" s="602"/>
      <c r="B228" s="603"/>
      <c r="C228" s="23"/>
      <c r="D228" s="588" t="s">
        <v>13</v>
      </c>
      <c r="E228" s="589"/>
      <c r="F228" s="589"/>
      <c r="G228" s="589"/>
      <c r="H228" s="590"/>
      <c r="I228" s="329"/>
      <c r="J228" s="15" t="s">
        <v>165</v>
      </c>
      <c r="K228" s="24">
        <v>600</v>
      </c>
      <c r="L228" s="301"/>
      <c r="N228" s="25"/>
      <c r="O228" s="25"/>
      <c r="P228" s="25"/>
      <c r="Q228" s="25"/>
      <c r="R228" s="25"/>
      <c r="S228" s="25"/>
      <c r="T228" s="25"/>
      <c r="U228" s="25"/>
      <c r="V228" s="25"/>
    </row>
    <row r="229" spans="1:22" s="22" customFormat="1" ht="12.75">
      <c r="A229" s="604" t="s">
        <v>436</v>
      </c>
      <c r="B229" s="605"/>
      <c r="C229" s="23"/>
      <c r="D229" s="402"/>
      <c r="E229" s="403"/>
      <c r="F229" s="403"/>
      <c r="G229" s="403"/>
      <c r="H229" s="404"/>
      <c r="I229" s="329"/>
      <c r="J229" s="15"/>
      <c r="K229" s="24"/>
      <c r="L229" s="301"/>
      <c r="N229" s="25"/>
      <c r="O229" s="25"/>
      <c r="P229" s="25"/>
      <c r="Q229" s="25"/>
      <c r="R229" s="25"/>
      <c r="S229" s="25"/>
      <c r="T229" s="25"/>
      <c r="U229" s="25"/>
      <c r="V229" s="25"/>
    </row>
    <row r="230" spans="1:22" s="22" customFormat="1" ht="14.1" customHeight="1">
      <c r="A230" s="668" t="s">
        <v>437</v>
      </c>
      <c r="B230" s="669"/>
      <c r="C230" s="23"/>
      <c r="D230" s="402"/>
      <c r="E230" s="403"/>
      <c r="F230" s="403"/>
      <c r="G230" s="403"/>
      <c r="H230" s="404"/>
      <c r="I230" s="329"/>
      <c r="J230" s="15"/>
      <c r="K230" s="24"/>
      <c r="L230" s="301"/>
      <c r="N230" s="25"/>
      <c r="O230" s="25"/>
      <c r="P230" s="25"/>
      <c r="Q230" s="25"/>
      <c r="R230" s="25"/>
      <c r="S230" s="25"/>
      <c r="T230" s="25"/>
      <c r="U230" s="25"/>
      <c r="V230" s="25"/>
    </row>
    <row r="231" spans="1:22" s="22" customFormat="1" ht="15" customHeight="1">
      <c r="A231" s="668"/>
      <c r="B231" s="669"/>
      <c r="C231" s="23"/>
      <c r="D231" s="402"/>
      <c r="E231" s="403"/>
      <c r="F231" s="403"/>
      <c r="G231" s="403"/>
      <c r="H231" s="404"/>
      <c r="I231" s="329"/>
      <c r="J231" s="15"/>
      <c r="K231" s="24"/>
      <c r="L231" s="301"/>
      <c r="N231" s="25"/>
      <c r="O231" s="25"/>
      <c r="P231" s="25"/>
      <c r="Q231" s="25"/>
      <c r="R231" s="25"/>
      <c r="S231" s="25"/>
      <c r="T231" s="25"/>
      <c r="U231" s="25"/>
      <c r="V231" s="25"/>
    </row>
    <row r="232" spans="1:22" s="22" customFormat="1" ht="15" customHeight="1">
      <c r="A232" s="668"/>
      <c r="B232" s="669"/>
      <c r="C232" s="23"/>
      <c r="D232" s="402"/>
      <c r="E232" s="403"/>
      <c r="F232" s="403"/>
      <c r="G232" s="403"/>
      <c r="H232" s="404"/>
      <c r="I232" s="329"/>
      <c r="J232" s="15"/>
      <c r="K232" s="24"/>
      <c r="L232" s="301"/>
      <c r="N232" s="25"/>
      <c r="O232" s="25"/>
      <c r="P232" s="25"/>
      <c r="Q232" s="25"/>
      <c r="R232" s="25"/>
      <c r="S232" s="25"/>
      <c r="T232" s="25"/>
      <c r="U232" s="25"/>
      <c r="V232" s="25"/>
    </row>
    <row r="233" spans="1:22" s="22" customFormat="1" ht="12.75">
      <c r="A233" s="668"/>
      <c r="B233" s="669"/>
      <c r="C233" s="23"/>
      <c r="D233" s="588"/>
      <c r="E233" s="589"/>
      <c r="F233" s="589"/>
      <c r="G233" s="589"/>
      <c r="H233" s="590"/>
      <c r="I233" s="329"/>
      <c r="J233" s="15"/>
      <c r="K233" s="24"/>
      <c r="L233" s="301">
        <f t="shared" si="6"/>
        <v>0</v>
      </c>
      <c r="N233" s="25"/>
      <c r="O233" s="25"/>
      <c r="P233" s="25"/>
      <c r="Q233" s="25"/>
      <c r="R233" s="25"/>
      <c r="S233" s="25"/>
      <c r="T233" s="25"/>
      <c r="U233" s="25"/>
      <c r="V233" s="25"/>
    </row>
    <row r="234" spans="1:22" s="22" customFormat="1" ht="19.5" thickBot="1">
      <c r="A234" s="406"/>
      <c r="B234" s="407"/>
      <c r="C234" s="13"/>
      <c r="D234" s="45"/>
      <c r="E234" s="46"/>
      <c r="F234" s="46"/>
      <c r="G234" s="46"/>
      <c r="H234" s="46"/>
      <c r="I234" s="336"/>
      <c r="J234" s="47" t="s">
        <v>339</v>
      </c>
      <c r="K234" s="659">
        <f>SUM(L9:L42,L46:L78,L97:L144,L148:L185,L198:L213,L217:L233)</f>
        <v>0</v>
      </c>
      <c r="L234" s="660"/>
      <c r="N234" s="25"/>
      <c r="O234" s="25"/>
      <c r="P234" s="25"/>
      <c r="Q234" s="25"/>
      <c r="R234" s="25"/>
      <c r="S234" s="25"/>
      <c r="T234" s="25"/>
      <c r="U234" s="25"/>
      <c r="V234" s="25"/>
    </row>
    <row r="235" spans="1:22" s="22" customFormat="1" ht="12.75">
      <c r="A235" s="661" t="s">
        <v>20</v>
      </c>
      <c r="B235" s="662"/>
      <c r="C235" s="23"/>
      <c r="D235" s="663" t="s">
        <v>351</v>
      </c>
      <c r="E235" s="663"/>
      <c r="F235" s="663"/>
      <c r="G235" s="663"/>
      <c r="H235" s="663"/>
      <c r="I235" s="329"/>
      <c r="J235" s="15" t="s">
        <v>228</v>
      </c>
      <c r="K235" s="338">
        <f>SUM(K234)</f>
        <v>0</v>
      </c>
      <c r="L235" s="301" t="str">
        <f>IF(I235&gt;0,K235*(I235/100)," ")</f>
        <v xml:space="preserve"> </v>
      </c>
      <c r="N235" s="25"/>
      <c r="O235" s="25"/>
      <c r="P235" s="25"/>
      <c r="Q235" s="25"/>
      <c r="R235" s="25"/>
      <c r="S235" s="25"/>
      <c r="T235" s="25"/>
      <c r="U235" s="25"/>
      <c r="V235" s="25"/>
    </row>
    <row r="236" spans="1:22" s="22" customFormat="1" ht="19.5" thickBot="1">
      <c r="A236" s="45"/>
      <c r="B236" s="45"/>
      <c r="C236" s="66"/>
      <c r="D236" s="78"/>
      <c r="E236" s="78"/>
      <c r="F236" s="78"/>
      <c r="G236" s="78"/>
      <c r="H236" s="78"/>
      <c r="I236" s="337"/>
      <c r="J236" s="47" t="s">
        <v>338</v>
      </c>
      <c r="K236" s="659">
        <f>SUM(K234,L235:L235)</f>
        <v>0</v>
      </c>
      <c r="L236" s="660"/>
      <c r="N236" s="25"/>
      <c r="O236" s="25"/>
      <c r="P236" s="25"/>
      <c r="Q236" s="25"/>
      <c r="R236" s="25"/>
      <c r="S236" s="25"/>
      <c r="T236" s="25"/>
      <c r="U236" s="25"/>
      <c r="V236" s="25"/>
    </row>
    <row r="237" spans="1:22" s="3" customFormat="1" ht="21.75" thickBot="1">
      <c r="A237" s="48"/>
      <c r="B237" s="48"/>
      <c r="C237" s="600"/>
      <c r="D237" s="600"/>
      <c r="E237" s="600"/>
      <c r="F237" s="600"/>
      <c r="G237" s="600"/>
      <c r="H237" s="600"/>
      <c r="I237" s="600"/>
      <c r="J237" s="600"/>
      <c r="K237" s="48"/>
      <c r="L237" s="48"/>
      <c r="N237" s="17"/>
      <c r="O237" s="17"/>
      <c r="P237" s="17"/>
      <c r="Q237" s="17"/>
      <c r="R237" s="17"/>
      <c r="S237" s="17"/>
      <c r="T237" s="17"/>
      <c r="U237" s="17"/>
      <c r="V237" s="17"/>
    </row>
    <row r="238" spans="1:22" s="3" customFormat="1" ht="18" customHeight="1" thickBot="1">
      <c r="B238" s="529" t="s">
        <v>423</v>
      </c>
      <c r="C238" s="530"/>
      <c r="D238" s="530"/>
      <c r="E238" s="531"/>
      <c r="F238" s="310"/>
      <c r="G238" s="649" t="s">
        <v>338</v>
      </c>
      <c r="H238" s="650"/>
      <c r="I238" s="650"/>
      <c r="J238" s="650"/>
      <c r="K238" s="651"/>
      <c r="L238" s="17"/>
      <c r="N238" s="17"/>
      <c r="O238" s="17"/>
      <c r="P238" s="317"/>
      <c r="Q238" s="317"/>
      <c r="R238" s="317"/>
      <c r="S238" s="17"/>
      <c r="T238" s="17"/>
      <c r="U238" s="17"/>
      <c r="V238" s="17"/>
    </row>
    <row r="239" spans="1:22" s="3" customFormat="1" ht="21.95" customHeight="1" thickBot="1">
      <c r="B239" s="655" t="s">
        <v>317</v>
      </c>
      <c r="C239" s="656"/>
      <c r="D239" s="656"/>
      <c r="E239" s="318">
        <f>SUM(L9:L42,L46:L78)</f>
        <v>0</v>
      </c>
      <c r="F239" s="310"/>
      <c r="G239" s="652">
        <f>SUM(E239:E242)</f>
        <v>0</v>
      </c>
      <c r="H239" s="653"/>
      <c r="I239" s="653"/>
      <c r="J239" s="653"/>
      <c r="K239" s="654"/>
      <c r="L239" s="17"/>
      <c r="N239" s="17"/>
      <c r="O239" s="17"/>
      <c r="P239" s="17"/>
      <c r="Q239" s="17"/>
      <c r="R239" s="17"/>
      <c r="S239" s="17"/>
      <c r="T239" s="17"/>
      <c r="U239" s="17"/>
      <c r="V239" s="17"/>
    </row>
    <row r="240" spans="1:22" s="3" customFormat="1" ht="21.95" customHeight="1" thickBot="1">
      <c r="B240" s="664" t="s">
        <v>318</v>
      </c>
      <c r="C240" s="665"/>
      <c r="D240" s="665"/>
      <c r="E240" s="319">
        <f>SUM(L97:L144,L148:L185)</f>
        <v>0</v>
      </c>
      <c r="F240" s="313"/>
      <c r="G240" s="666"/>
      <c r="H240" s="666"/>
      <c r="I240" s="666"/>
      <c r="J240" s="312"/>
      <c r="L240" s="17"/>
      <c r="N240" s="17"/>
      <c r="O240" s="17"/>
      <c r="P240" s="17"/>
      <c r="Q240" s="17"/>
      <c r="R240" s="17"/>
      <c r="S240" s="17"/>
      <c r="T240" s="17"/>
      <c r="U240" s="17"/>
      <c r="V240" s="17"/>
    </row>
    <row r="241" spans="1:22" s="3" customFormat="1" ht="21.95" customHeight="1">
      <c r="B241" s="647" t="s">
        <v>319</v>
      </c>
      <c r="C241" s="648"/>
      <c r="D241" s="648"/>
      <c r="E241" s="320">
        <f>SUM(L198:L213)</f>
        <v>0</v>
      </c>
      <c r="F241" s="313"/>
      <c r="G241" s="649" t="s">
        <v>422</v>
      </c>
      <c r="H241" s="650"/>
      <c r="I241" s="650"/>
      <c r="J241" s="650"/>
      <c r="K241" s="651"/>
      <c r="L241" s="2"/>
      <c r="N241" s="17"/>
      <c r="O241" s="17"/>
      <c r="P241" s="17"/>
      <c r="Q241" s="17"/>
      <c r="R241" s="17"/>
      <c r="S241" s="17"/>
      <c r="T241" s="17"/>
      <c r="U241" s="17"/>
      <c r="V241" s="17"/>
    </row>
    <row r="242" spans="1:22" s="3" customFormat="1" ht="21.95" customHeight="1" thickBot="1">
      <c r="B242" s="657" t="s">
        <v>320</v>
      </c>
      <c r="C242" s="658"/>
      <c r="D242" s="658"/>
      <c r="E242" s="321">
        <f>SUM(L217:L233,L235)</f>
        <v>0</v>
      </c>
      <c r="G242" s="652">
        <f>SUM('Deal Information'!C21)</f>
        <v>200000</v>
      </c>
      <c r="H242" s="653"/>
      <c r="I242" s="653"/>
      <c r="J242" s="653"/>
      <c r="K242" s="654"/>
      <c r="N242" s="17"/>
      <c r="O242" s="17"/>
      <c r="P242" s="314"/>
      <c r="Q242" s="314"/>
      <c r="R242" s="314"/>
      <c r="S242" s="17"/>
      <c r="T242" s="17"/>
      <c r="U242" s="17"/>
      <c r="V242" s="17"/>
    </row>
    <row r="243" spans="1:22" s="3" customFormat="1" ht="18" customHeight="1">
      <c r="I243" s="316"/>
      <c r="N243" s="17"/>
      <c r="O243" s="17"/>
      <c r="P243" s="311"/>
      <c r="Q243" s="315"/>
      <c r="R243" s="315"/>
      <c r="S243" s="17"/>
      <c r="T243" s="17"/>
      <c r="U243" s="17"/>
      <c r="V243" s="17"/>
    </row>
    <row r="244" spans="1:22">
      <c r="A244" s="646" t="s">
        <v>350</v>
      </c>
      <c r="B244" s="646"/>
      <c r="C244" s="646"/>
      <c r="D244" s="646"/>
      <c r="E244" s="646"/>
      <c r="F244" s="646"/>
      <c r="G244" s="646"/>
      <c r="H244" s="646"/>
      <c r="I244" s="646"/>
      <c r="J244" s="646"/>
      <c r="K244" s="646"/>
      <c r="L244" s="646"/>
    </row>
    <row r="245" spans="1:22">
      <c r="A245" s="646"/>
      <c r="B245" s="646"/>
      <c r="C245" s="646"/>
      <c r="D245" s="646"/>
      <c r="E245" s="646"/>
      <c r="F245" s="646"/>
      <c r="G245" s="646"/>
      <c r="H245" s="646"/>
      <c r="I245" s="646"/>
      <c r="J245" s="646"/>
      <c r="K245" s="646"/>
      <c r="L245" s="646"/>
    </row>
    <row r="246" spans="1:22">
      <c r="A246" s="2"/>
      <c r="B246" s="2"/>
      <c r="C246" s="2"/>
      <c r="D246" s="2"/>
      <c r="E246" s="2"/>
      <c r="F246" s="2"/>
      <c r="G246" s="2"/>
      <c r="H246" s="2"/>
      <c r="I246" s="322"/>
      <c r="J246" s="2"/>
      <c r="K246" s="2"/>
      <c r="L246" s="2"/>
    </row>
    <row r="247" spans="1:22">
      <c r="A247" s="3"/>
    </row>
    <row r="248" spans="1:22">
      <c r="A248" s="3"/>
    </row>
    <row r="249" spans="1:22">
      <c r="A249" s="2"/>
      <c r="B249" s="2"/>
      <c r="C249" s="2"/>
      <c r="D249" s="2"/>
      <c r="E249" s="2"/>
      <c r="F249" s="2"/>
      <c r="G249" s="2"/>
      <c r="H249" s="2"/>
      <c r="I249" s="322"/>
      <c r="J249" s="2"/>
      <c r="K249" s="2"/>
      <c r="L249" s="2"/>
    </row>
    <row r="250" spans="1:22">
      <c r="A250" s="2"/>
      <c r="B250" s="2"/>
      <c r="C250" s="2"/>
      <c r="D250" s="2"/>
      <c r="E250" s="2"/>
      <c r="F250" s="2"/>
      <c r="G250" s="2"/>
      <c r="H250" s="2"/>
      <c r="I250" s="322"/>
      <c r="J250" s="2"/>
      <c r="K250" s="2"/>
      <c r="L250" s="2"/>
    </row>
    <row r="251" spans="1:22">
      <c r="A251" s="2"/>
      <c r="B251" s="2"/>
      <c r="C251" s="2"/>
      <c r="D251" s="2"/>
      <c r="E251" s="2"/>
      <c r="F251" s="2"/>
      <c r="G251" s="2"/>
      <c r="H251" s="2"/>
      <c r="I251" s="322"/>
      <c r="J251" s="2"/>
      <c r="K251" s="2"/>
      <c r="L251" s="2"/>
    </row>
    <row r="252" spans="1:22">
      <c r="A252" s="2"/>
      <c r="B252" s="2"/>
      <c r="C252" s="2"/>
      <c r="D252" s="2"/>
      <c r="E252" s="2"/>
      <c r="F252" s="2"/>
      <c r="G252" s="2"/>
      <c r="H252" s="2"/>
      <c r="I252" s="322"/>
      <c r="J252" s="2"/>
      <c r="K252" s="2"/>
      <c r="L252" s="2"/>
    </row>
    <row r="253" spans="1:22">
      <c r="A253" s="2"/>
      <c r="B253" s="2"/>
      <c r="C253" s="2"/>
      <c r="D253" s="2"/>
      <c r="E253" s="2"/>
      <c r="F253" s="2"/>
      <c r="G253" s="2"/>
      <c r="H253" s="2"/>
      <c r="I253" s="322"/>
      <c r="J253" s="2"/>
      <c r="K253" s="2"/>
      <c r="L253" s="2"/>
    </row>
    <row r="254" spans="1:22">
      <c r="A254" s="2"/>
      <c r="B254" s="2"/>
      <c r="C254" s="2"/>
      <c r="D254" s="2"/>
      <c r="E254" s="2"/>
      <c r="F254" s="2"/>
      <c r="G254" s="2"/>
      <c r="H254" s="2"/>
      <c r="I254" s="322"/>
      <c r="J254" s="2"/>
      <c r="K254" s="2"/>
      <c r="L254" s="2"/>
    </row>
    <row r="255" spans="1:22">
      <c r="A255" s="2"/>
      <c r="B255" s="2"/>
      <c r="C255" s="2"/>
      <c r="D255" s="2"/>
      <c r="E255" s="2"/>
      <c r="F255" s="2"/>
      <c r="G255" s="2"/>
      <c r="H255" s="2"/>
      <c r="I255" s="322"/>
      <c r="J255" s="2"/>
      <c r="K255" s="2"/>
      <c r="L255" s="2"/>
    </row>
    <row r="256" spans="1:22">
      <c r="A256" s="2"/>
      <c r="B256" s="2"/>
      <c r="C256" s="2"/>
      <c r="D256" s="2"/>
      <c r="E256" s="2"/>
      <c r="F256" s="2"/>
      <c r="G256" s="2"/>
      <c r="H256" s="2"/>
      <c r="I256" s="322"/>
      <c r="J256" s="2"/>
      <c r="K256" s="2"/>
      <c r="L256" s="2"/>
    </row>
    <row r="257" spans="1:12">
      <c r="A257" s="2"/>
      <c r="B257" s="2"/>
      <c r="C257" s="2"/>
      <c r="D257" s="2"/>
      <c r="E257" s="2"/>
      <c r="F257" s="2"/>
      <c r="G257" s="2"/>
      <c r="H257" s="2"/>
      <c r="I257" s="322"/>
      <c r="J257" s="2"/>
      <c r="K257" s="2"/>
      <c r="L257" s="2"/>
    </row>
    <row r="258" spans="1:12">
      <c r="A258" s="2"/>
      <c r="B258" s="2"/>
      <c r="C258" s="2"/>
      <c r="D258" s="2"/>
      <c r="E258" s="2"/>
      <c r="F258" s="2"/>
      <c r="G258" s="2"/>
      <c r="H258" s="2"/>
      <c r="I258" s="322"/>
      <c r="J258" s="2"/>
      <c r="K258" s="2"/>
      <c r="L258" s="2"/>
    </row>
    <row r="259" spans="1:12">
      <c r="A259" s="2"/>
      <c r="B259" s="2"/>
      <c r="C259" s="2"/>
      <c r="D259" s="2"/>
      <c r="E259" s="2"/>
      <c r="F259" s="2"/>
      <c r="G259" s="2"/>
      <c r="H259" s="2"/>
      <c r="I259" s="322"/>
      <c r="J259" s="2"/>
      <c r="K259" s="2"/>
      <c r="L259" s="2"/>
    </row>
    <row r="260" spans="1:12">
      <c r="A260" s="2"/>
      <c r="B260" s="2"/>
      <c r="C260" s="2"/>
      <c r="D260" s="2"/>
      <c r="E260" s="2"/>
      <c r="F260" s="2"/>
      <c r="G260" s="2"/>
      <c r="H260" s="2"/>
      <c r="I260" s="322"/>
      <c r="J260" s="2"/>
      <c r="K260" s="2"/>
      <c r="L260" s="2"/>
    </row>
    <row r="261" spans="1:12">
      <c r="A261" s="2"/>
      <c r="B261" s="2"/>
      <c r="C261" s="2"/>
      <c r="D261" s="2"/>
      <c r="E261" s="2"/>
      <c r="F261" s="2"/>
      <c r="G261" s="2"/>
      <c r="H261" s="2"/>
      <c r="I261" s="322"/>
      <c r="J261" s="2"/>
      <c r="K261" s="2"/>
      <c r="L261" s="2"/>
    </row>
    <row r="262" spans="1:12">
      <c r="A262" s="2"/>
      <c r="B262" s="2"/>
      <c r="C262" s="2"/>
      <c r="D262" s="2"/>
      <c r="E262" s="2"/>
      <c r="F262" s="2"/>
      <c r="G262" s="2"/>
      <c r="H262" s="2"/>
      <c r="I262" s="322"/>
      <c r="J262" s="2"/>
      <c r="K262" s="2"/>
      <c r="L262" s="2"/>
    </row>
    <row r="263" spans="1:12">
      <c r="A263" s="2"/>
      <c r="B263" s="2"/>
      <c r="C263" s="2"/>
      <c r="D263" s="2"/>
      <c r="E263" s="2"/>
      <c r="F263" s="2"/>
      <c r="G263" s="2"/>
      <c r="H263" s="2"/>
      <c r="I263" s="322"/>
      <c r="J263" s="2"/>
      <c r="K263" s="2"/>
      <c r="L263" s="2"/>
    </row>
    <row r="264" spans="1:12">
      <c r="A264" s="2"/>
      <c r="B264" s="2"/>
      <c r="C264" s="2"/>
      <c r="D264" s="2"/>
      <c r="E264" s="2"/>
      <c r="F264" s="2"/>
      <c r="G264" s="2"/>
      <c r="H264" s="2"/>
      <c r="I264" s="322"/>
      <c r="J264" s="2"/>
      <c r="K264" s="2"/>
      <c r="L264" s="2"/>
    </row>
    <row r="265" spans="1:12">
      <c r="A265" s="2"/>
      <c r="B265" s="2"/>
      <c r="C265" s="2"/>
      <c r="D265" s="2"/>
      <c r="E265" s="2"/>
      <c r="F265" s="2"/>
      <c r="G265" s="2"/>
      <c r="H265" s="2"/>
      <c r="I265" s="322"/>
      <c r="J265" s="2"/>
      <c r="K265" s="2"/>
      <c r="L265" s="2"/>
    </row>
    <row r="266" spans="1:12">
      <c r="A266" s="2"/>
      <c r="B266" s="2"/>
      <c r="C266" s="2"/>
      <c r="D266" s="2"/>
      <c r="E266" s="2"/>
      <c r="F266" s="2"/>
      <c r="G266" s="2"/>
      <c r="H266" s="2"/>
      <c r="I266" s="322"/>
      <c r="J266" s="2"/>
      <c r="K266" s="2"/>
      <c r="L266" s="2"/>
    </row>
    <row r="267" spans="1:12">
      <c r="A267" s="2"/>
      <c r="B267" s="2"/>
      <c r="C267" s="2"/>
      <c r="D267" s="2"/>
      <c r="E267" s="2"/>
      <c r="F267" s="2"/>
      <c r="G267" s="2"/>
      <c r="H267" s="2"/>
      <c r="I267" s="322"/>
      <c r="J267" s="2"/>
      <c r="K267" s="2"/>
      <c r="L267" s="2"/>
    </row>
    <row r="268" spans="1:12">
      <c r="A268" s="2"/>
      <c r="B268" s="2"/>
      <c r="C268" s="2"/>
      <c r="D268" s="2"/>
      <c r="E268" s="2"/>
      <c r="F268" s="2"/>
      <c r="G268" s="2"/>
      <c r="H268" s="2"/>
      <c r="I268" s="322"/>
      <c r="J268" s="2"/>
      <c r="K268" s="2"/>
      <c r="L268" s="2"/>
    </row>
    <row r="269" spans="1:12">
      <c r="A269" s="2"/>
      <c r="B269" s="2"/>
      <c r="C269" s="2"/>
      <c r="D269" s="2"/>
      <c r="E269" s="2"/>
      <c r="F269" s="2"/>
      <c r="G269" s="2"/>
      <c r="H269" s="2"/>
      <c r="I269" s="322"/>
      <c r="J269" s="2"/>
      <c r="K269" s="2"/>
      <c r="L269" s="2"/>
    </row>
    <row r="270" spans="1:12">
      <c r="A270" s="2"/>
      <c r="B270" s="2"/>
      <c r="C270" s="2"/>
      <c r="D270" s="2"/>
      <c r="E270" s="2"/>
      <c r="F270" s="2"/>
      <c r="G270" s="2"/>
      <c r="H270" s="2"/>
      <c r="I270" s="322"/>
      <c r="J270" s="2"/>
      <c r="K270" s="2"/>
      <c r="L270" s="2"/>
    </row>
    <row r="271" spans="1:12">
      <c r="A271" s="2"/>
      <c r="B271" s="2"/>
      <c r="C271" s="2"/>
      <c r="D271" s="2"/>
      <c r="E271" s="2"/>
      <c r="F271" s="2"/>
      <c r="G271" s="2"/>
      <c r="H271" s="2"/>
      <c r="I271" s="322"/>
      <c r="J271" s="2"/>
      <c r="K271" s="2"/>
      <c r="L271" s="2"/>
    </row>
    <row r="272" spans="1:12">
      <c r="A272" s="2"/>
      <c r="B272" s="2"/>
      <c r="C272" s="2"/>
      <c r="D272" s="2"/>
      <c r="E272" s="2"/>
      <c r="F272" s="2"/>
      <c r="G272" s="2"/>
      <c r="H272" s="2"/>
      <c r="I272" s="322"/>
      <c r="J272" s="2"/>
      <c r="K272" s="2"/>
      <c r="L272" s="2"/>
    </row>
    <row r="273" spans="1:12">
      <c r="A273" s="2"/>
      <c r="B273" s="2"/>
      <c r="C273" s="2"/>
      <c r="D273" s="2"/>
      <c r="E273" s="2"/>
      <c r="F273" s="2"/>
      <c r="G273" s="2"/>
      <c r="H273" s="2"/>
      <c r="I273" s="322"/>
      <c r="J273" s="2"/>
      <c r="K273" s="2"/>
      <c r="L273" s="2"/>
    </row>
    <row r="274" spans="1:12">
      <c r="A274" s="2"/>
      <c r="B274" s="2"/>
      <c r="C274" s="2"/>
      <c r="D274" s="2"/>
      <c r="E274" s="2"/>
      <c r="F274" s="2"/>
      <c r="G274" s="2"/>
      <c r="H274" s="2"/>
      <c r="I274" s="322"/>
      <c r="J274" s="2"/>
      <c r="K274" s="2"/>
      <c r="L274" s="2"/>
    </row>
    <row r="275" spans="1:12">
      <c r="A275" s="2"/>
      <c r="B275" s="2"/>
      <c r="C275" s="2"/>
      <c r="D275" s="2"/>
      <c r="E275" s="2"/>
      <c r="F275" s="2"/>
      <c r="G275" s="2"/>
      <c r="H275" s="2"/>
      <c r="I275" s="322"/>
      <c r="J275" s="2"/>
      <c r="K275" s="2"/>
      <c r="L275" s="2"/>
    </row>
    <row r="276" spans="1:12">
      <c r="A276" s="2"/>
      <c r="B276" s="2"/>
      <c r="C276" s="2"/>
      <c r="D276" s="2"/>
      <c r="E276" s="2"/>
      <c r="F276" s="2"/>
      <c r="G276" s="2"/>
      <c r="H276" s="2"/>
      <c r="I276" s="322"/>
      <c r="J276" s="2"/>
      <c r="K276" s="2"/>
      <c r="L276" s="2"/>
    </row>
    <row r="277" spans="1:12">
      <c r="A277" s="2"/>
      <c r="B277" s="2"/>
      <c r="C277" s="2"/>
      <c r="D277" s="2"/>
      <c r="E277" s="2"/>
      <c r="F277" s="2"/>
      <c r="G277" s="2"/>
      <c r="H277" s="2"/>
      <c r="I277" s="322"/>
      <c r="J277" s="2"/>
      <c r="K277" s="2"/>
      <c r="L277" s="2"/>
    </row>
    <row r="278" spans="1:12">
      <c r="A278" s="2"/>
      <c r="B278" s="2"/>
      <c r="C278" s="2"/>
      <c r="D278" s="2"/>
      <c r="E278" s="2"/>
      <c r="F278" s="2"/>
      <c r="G278" s="2"/>
      <c r="H278" s="2"/>
      <c r="I278" s="322"/>
      <c r="J278" s="2"/>
      <c r="K278" s="2"/>
      <c r="L278" s="2"/>
    </row>
    <row r="279" spans="1:12">
      <c r="A279" s="2"/>
      <c r="B279" s="2"/>
      <c r="C279" s="2"/>
      <c r="D279" s="2"/>
      <c r="E279" s="2"/>
      <c r="F279" s="2"/>
      <c r="G279" s="2"/>
      <c r="H279" s="2"/>
      <c r="I279" s="322"/>
      <c r="J279" s="2"/>
      <c r="K279" s="2"/>
      <c r="L279" s="2"/>
    </row>
    <row r="280" spans="1:12">
      <c r="A280" s="2"/>
      <c r="B280" s="2"/>
      <c r="C280" s="2"/>
      <c r="D280" s="2"/>
      <c r="E280" s="2"/>
      <c r="F280" s="2"/>
      <c r="G280" s="2"/>
      <c r="H280" s="2"/>
      <c r="I280" s="322"/>
      <c r="J280" s="2"/>
      <c r="K280" s="2"/>
      <c r="L280" s="2"/>
    </row>
    <row r="281" spans="1:12">
      <c r="A281" s="2"/>
      <c r="B281" s="2"/>
      <c r="C281" s="2"/>
      <c r="D281" s="2"/>
      <c r="E281" s="2"/>
      <c r="F281" s="2"/>
      <c r="G281" s="2"/>
      <c r="H281" s="2"/>
      <c r="I281" s="322"/>
      <c r="J281" s="2"/>
      <c r="K281" s="2"/>
      <c r="L281" s="2"/>
    </row>
    <row r="282" spans="1:12">
      <c r="A282" s="2"/>
      <c r="B282" s="2"/>
      <c r="C282" s="2"/>
      <c r="D282" s="2"/>
      <c r="E282" s="2"/>
      <c r="F282" s="2"/>
      <c r="G282" s="2"/>
      <c r="H282" s="2"/>
      <c r="I282" s="322"/>
      <c r="J282" s="2"/>
      <c r="K282" s="2"/>
      <c r="L282" s="2"/>
    </row>
    <row r="283" spans="1:12">
      <c r="A283" s="2"/>
      <c r="B283" s="2"/>
      <c r="C283" s="2"/>
      <c r="D283" s="2"/>
      <c r="E283" s="2"/>
      <c r="F283" s="2"/>
      <c r="G283" s="2"/>
      <c r="H283" s="2"/>
      <c r="I283" s="322"/>
      <c r="J283" s="2"/>
      <c r="K283" s="2"/>
      <c r="L283" s="2"/>
    </row>
    <row r="284" spans="1:12">
      <c r="A284" s="2"/>
      <c r="B284" s="2"/>
      <c r="C284" s="2"/>
      <c r="D284" s="2"/>
      <c r="E284" s="2"/>
      <c r="F284" s="2"/>
      <c r="G284" s="2"/>
      <c r="H284" s="2"/>
      <c r="I284" s="322"/>
      <c r="J284" s="2"/>
      <c r="K284" s="2"/>
      <c r="L284" s="2"/>
    </row>
    <row r="285" spans="1:12">
      <c r="A285" s="2"/>
      <c r="B285" s="2"/>
      <c r="C285" s="2"/>
      <c r="D285" s="2"/>
      <c r="E285" s="2"/>
      <c r="F285" s="2"/>
      <c r="G285" s="2"/>
      <c r="H285" s="2"/>
      <c r="I285" s="322"/>
      <c r="J285" s="2"/>
      <c r="K285" s="2"/>
      <c r="L285" s="2"/>
    </row>
    <row r="286" spans="1:12">
      <c r="A286" s="2"/>
      <c r="B286" s="2"/>
      <c r="C286" s="2"/>
      <c r="D286" s="2"/>
      <c r="E286" s="2"/>
      <c r="F286" s="2"/>
      <c r="G286" s="2"/>
      <c r="H286" s="2"/>
      <c r="I286" s="322"/>
      <c r="J286" s="2"/>
      <c r="K286" s="2"/>
      <c r="L286" s="2"/>
    </row>
    <row r="287" spans="1:12">
      <c r="A287" s="2"/>
      <c r="B287" s="2"/>
      <c r="C287" s="2"/>
      <c r="D287" s="2"/>
      <c r="E287" s="2"/>
      <c r="F287" s="2"/>
      <c r="G287" s="2"/>
      <c r="H287" s="2"/>
      <c r="I287" s="322"/>
      <c r="J287" s="2"/>
      <c r="K287" s="2"/>
      <c r="L287" s="2"/>
    </row>
    <row r="288" spans="1:12">
      <c r="A288" s="2"/>
      <c r="B288" s="2"/>
      <c r="C288" s="2"/>
      <c r="D288" s="2"/>
      <c r="E288" s="2"/>
      <c r="F288" s="2"/>
      <c r="G288" s="2"/>
      <c r="H288" s="2"/>
      <c r="I288" s="322"/>
      <c r="J288" s="2"/>
      <c r="K288" s="2"/>
      <c r="L288" s="2"/>
    </row>
  </sheetData>
  <mergeCells count="377">
    <mergeCell ref="G240:I240"/>
    <mergeCell ref="A220:B221"/>
    <mergeCell ref="D220:H220"/>
    <mergeCell ref="D221:H221"/>
    <mergeCell ref="A222:B222"/>
    <mergeCell ref="D222:H222"/>
    <mergeCell ref="A223:B224"/>
    <mergeCell ref="D223:H223"/>
    <mergeCell ref="D224:H224"/>
    <mergeCell ref="A229:B229"/>
    <mergeCell ref="A230:B233"/>
    <mergeCell ref="A244:L245"/>
    <mergeCell ref="A228:B228"/>
    <mergeCell ref="D228:H228"/>
    <mergeCell ref="D233:H233"/>
    <mergeCell ref="A225:B225"/>
    <mergeCell ref="D225:H225"/>
    <mergeCell ref="A226:B226"/>
    <mergeCell ref="D226:H226"/>
    <mergeCell ref="A227:B227"/>
    <mergeCell ref="D227:H227"/>
    <mergeCell ref="B241:D241"/>
    <mergeCell ref="G238:K238"/>
    <mergeCell ref="G239:K239"/>
    <mergeCell ref="G241:K241"/>
    <mergeCell ref="G242:K242"/>
    <mergeCell ref="B238:E238"/>
    <mergeCell ref="B239:D239"/>
    <mergeCell ref="B242:D242"/>
    <mergeCell ref="K236:L236"/>
    <mergeCell ref="C237:J237"/>
    <mergeCell ref="K234:L234"/>
    <mergeCell ref="A235:B235"/>
    <mergeCell ref="D235:H235"/>
    <mergeCell ref="B240:D240"/>
    <mergeCell ref="A217:B217"/>
    <mergeCell ref="D217:H217"/>
    <mergeCell ref="A218:B218"/>
    <mergeCell ref="D218:H218"/>
    <mergeCell ref="A219:B219"/>
    <mergeCell ref="D219:H219"/>
    <mergeCell ref="A212:B212"/>
    <mergeCell ref="D212:H212"/>
    <mergeCell ref="A213:B213"/>
    <mergeCell ref="D213:H213"/>
    <mergeCell ref="A215:L215"/>
    <mergeCell ref="A216:B216"/>
    <mergeCell ref="D216:H216"/>
    <mergeCell ref="A209:B209"/>
    <mergeCell ref="D209:H209"/>
    <mergeCell ref="A210:B210"/>
    <mergeCell ref="D210:H210"/>
    <mergeCell ref="A211:B211"/>
    <mergeCell ref="D211:H211"/>
    <mergeCell ref="A206:B206"/>
    <mergeCell ref="D206:H206"/>
    <mergeCell ref="A207:B207"/>
    <mergeCell ref="D207:H207"/>
    <mergeCell ref="A208:B208"/>
    <mergeCell ref="D208:H208"/>
    <mergeCell ref="A203:B203"/>
    <mergeCell ref="D203:H203"/>
    <mergeCell ref="A204:B204"/>
    <mergeCell ref="D204:H204"/>
    <mergeCell ref="A205:B205"/>
    <mergeCell ref="D205:H205"/>
    <mergeCell ref="A200:B200"/>
    <mergeCell ref="D200:H200"/>
    <mergeCell ref="A201:B201"/>
    <mergeCell ref="D201:H201"/>
    <mergeCell ref="A202:B202"/>
    <mergeCell ref="D202:H202"/>
    <mergeCell ref="A197:B197"/>
    <mergeCell ref="D197:H197"/>
    <mergeCell ref="A198:B198"/>
    <mergeCell ref="D198:H198"/>
    <mergeCell ref="A199:B199"/>
    <mergeCell ref="D199:H199"/>
    <mergeCell ref="A189:L189"/>
    <mergeCell ref="A190:L190"/>
    <mergeCell ref="A191:L191"/>
    <mergeCell ref="A192:L192"/>
    <mergeCell ref="A193:L193"/>
    <mergeCell ref="A196:L196"/>
    <mergeCell ref="A195:L195"/>
    <mergeCell ref="A184:B184"/>
    <mergeCell ref="D184:H184"/>
    <mergeCell ref="A185:B185"/>
    <mergeCell ref="D185:H185"/>
    <mergeCell ref="A187:L187"/>
    <mergeCell ref="A188:L188"/>
    <mergeCell ref="A181:B181"/>
    <mergeCell ref="D181:H181"/>
    <mergeCell ref="A182:B182"/>
    <mergeCell ref="D182:H182"/>
    <mergeCell ref="A183:B183"/>
    <mergeCell ref="D183:H183"/>
    <mergeCell ref="A177:B177"/>
    <mergeCell ref="D177:H177"/>
    <mergeCell ref="A178:B179"/>
    <mergeCell ref="D178:H178"/>
    <mergeCell ref="D179:H179"/>
    <mergeCell ref="A180:B180"/>
    <mergeCell ref="D180:H180"/>
    <mergeCell ref="A174:B174"/>
    <mergeCell ref="D174:H174"/>
    <mergeCell ref="A175:B175"/>
    <mergeCell ref="D175:H175"/>
    <mergeCell ref="A176:B176"/>
    <mergeCell ref="D176:H176"/>
    <mergeCell ref="A171:B171"/>
    <mergeCell ref="D171:H171"/>
    <mergeCell ref="A172:B172"/>
    <mergeCell ref="D172:H172"/>
    <mergeCell ref="A173:B173"/>
    <mergeCell ref="D173:H173"/>
    <mergeCell ref="A168:B168"/>
    <mergeCell ref="D168:H168"/>
    <mergeCell ref="A169:B169"/>
    <mergeCell ref="D169:H169"/>
    <mergeCell ref="A170:B170"/>
    <mergeCell ref="D170:H170"/>
    <mergeCell ref="A165:B165"/>
    <mergeCell ref="D165:H165"/>
    <mergeCell ref="A166:B166"/>
    <mergeCell ref="D166:H166"/>
    <mergeCell ref="A167:B167"/>
    <mergeCell ref="D167:H167"/>
    <mergeCell ref="A162:B162"/>
    <mergeCell ref="D162:H162"/>
    <mergeCell ref="A163:B163"/>
    <mergeCell ref="D163:H163"/>
    <mergeCell ref="A164:B164"/>
    <mergeCell ref="D164:H164"/>
    <mergeCell ref="A158:B158"/>
    <mergeCell ref="D158:H158"/>
    <mergeCell ref="A160:B160"/>
    <mergeCell ref="D160:H160"/>
    <mergeCell ref="A161:B161"/>
    <mergeCell ref="D161:H161"/>
    <mergeCell ref="A155:B155"/>
    <mergeCell ref="D155:H155"/>
    <mergeCell ref="A156:B156"/>
    <mergeCell ref="D156:H156"/>
    <mergeCell ref="A157:B157"/>
    <mergeCell ref="D157:H157"/>
    <mergeCell ref="D159:H159"/>
    <mergeCell ref="A152:B152"/>
    <mergeCell ref="D152:H152"/>
    <mergeCell ref="A153:B153"/>
    <mergeCell ref="D153:H153"/>
    <mergeCell ref="A154:B154"/>
    <mergeCell ref="D154:H154"/>
    <mergeCell ref="A148:B148"/>
    <mergeCell ref="D148:H148"/>
    <mergeCell ref="A150:B150"/>
    <mergeCell ref="D150:H150"/>
    <mergeCell ref="A151:B151"/>
    <mergeCell ref="D151:H151"/>
    <mergeCell ref="A143:B143"/>
    <mergeCell ref="D143:H143"/>
    <mergeCell ref="A144:B144"/>
    <mergeCell ref="D144:H144"/>
    <mergeCell ref="A146:L146"/>
    <mergeCell ref="A147:B147"/>
    <mergeCell ref="D147:H147"/>
    <mergeCell ref="A140:B140"/>
    <mergeCell ref="D140:H140"/>
    <mergeCell ref="A141:B141"/>
    <mergeCell ref="D141:H141"/>
    <mergeCell ref="A142:B142"/>
    <mergeCell ref="D142:H142"/>
    <mergeCell ref="A145:L145"/>
    <mergeCell ref="A137:B137"/>
    <mergeCell ref="D137:H137"/>
    <mergeCell ref="A138:B138"/>
    <mergeCell ref="D138:H138"/>
    <mergeCell ref="A139:B139"/>
    <mergeCell ref="D139:H139"/>
    <mergeCell ref="A134:B134"/>
    <mergeCell ref="D134:H134"/>
    <mergeCell ref="A135:B135"/>
    <mergeCell ref="D135:H135"/>
    <mergeCell ref="A136:B136"/>
    <mergeCell ref="D136:H136"/>
    <mergeCell ref="A129:B129"/>
    <mergeCell ref="D129:H129"/>
    <mergeCell ref="A130:B130"/>
    <mergeCell ref="D130:H130"/>
    <mergeCell ref="A131:B133"/>
    <mergeCell ref="D131:H131"/>
    <mergeCell ref="D132:H132"/>
    <mergeCell ref="A126:B126"/>
    <mergeCell ref="D126:H126"/>
    <mergeCell ref="A127:B127"/>
    <mergeCell ref="D127:H127"/>
    <mergeCell ref="A128:B128"/>
    <mergeCell ref="D128:H128"/>
    <mergeCell ref="A123:B123"/>
    <mergeCell ref="D123:H123"/>
    <mergeCell ref="A124:B124"/>
    <mergeCell ref="D124:H124"/>
    <mergeCell ref="A125:B125"/>
    <mergeCell ref="D125:H125"/>
    <mergeCell ref="A120:B120"/>
    <mergeCell ref="D120:H120"/>
    <mergeCell ref="A121:B121"/>
    <mergeCell ref="D121:H121"/>
    <mergeCell ref="A122:B122"/>
    <mergeCell ref="D122:H122"/>
    <mergeCell ref="A116:B116"/>
    <mergeCell ref="D116:H116"/>
    <mergeCell ref="A117:B119"/>
    <mergeCell ref="D117:H117"/>
    <mergeCell ref="D118:H118"/>
    <mergeCell ref="D119:H119"/>
    <mergeCell ref="A110:B110"/>
    <mergeCell ref="D110:H110"/>
    <mergeCell ref="A111:B111"/>
    <mergeCell ref="D111:H111"/>
    <mergeCell ref="A112:B115"/>
    <mergeCell ref="D112:H112"/>
    <mergeCell ref="D113:H113"/>
    <mergeCell ref="D114:H114"/>
    <mergeCell ref="D115:H115"/>
    <mergeCell ref="A107:B107"/>
    <mergeCell ref="D107:H107"/>
    <mergeCell ref="A108:B108"/>
    <mergeCell ref="D108:H108"/>
    <mergeCell ref="A109:B109"/>
    <mergeCell ref="D109:H109"/>
    <mergeCell ref="A104:B104"/>
    <mergeCell ref="D104:H104"/>
    <mergeCell ref="A105:B105"/>
    <mergeCell ref="D105:H105"/>
    <mergeCell ref="A106:B106"/>
    <mergeCell ref="D106:H106"/>
    <mergeCell ref="A101:B101"/>
    <mergeCell ref="D101:H101"/>
    <mergeCell ref="A102:B102"/>
    <mergeCell ref="D102:H102"/>
    <mergeCell ref="A103:B103"/>
    <mergeCell ref="D103:H103"/>
    <mergeCell ref="A98:B98"/>
    <mergeCell ref="D98:H98"/>
    <mergeCell ref="A99:B99"/>
    <mergeCell ref="D99:H99"/>
    <mergeCell ref="A100:B100"/>
    <mergeCell ref="D100:H100"/>
    <mergeCell ref="A89:L89"/>
    <mergeCell ref="A95:L95"/>
    <mergeCell ref="A96:B96"/>
    <mergeCell ref="D96:H96"/>
    <mergeCell ref="A97:B97"/>
    <mergeCell ref="D97:H97"/>
    <mergeCell ref="A83:L83"/>
    <mergeCell ref="A84:L84"/>
    <mergeCell ref="A85:L85"/>
    <mergeCell ref="A86:L86"/>
    <mergeCell ref="A87:L87"/>
    <mergeCell ref="A88:L88"/>
    <mergeCell ref="A94:L94"/>
    <mergeCell ref="A77:B78"/>
    <mergeCell ref="D77:H77"/>
    <mergeCell ref="D78:H78"/>
    <mergeCell ref="A80:L80"/>
    <mergeCell ref="A81:L81"/>
    <mergeCell ref="A82:L82"/>
    <mergeCell ref="A74:B74"/>
    <mergeCell ref="D74:H74"/>
    <mergeCell ref="A75:B75"/>
    <mergeCell ref="D75:H75"/>
    <mergeCell ref="A76:B76"/>
    <mergeCell ref="D76:H76"/>
    <mergeCell ref="A71:B71"/>
    <mergeCell ref="D71:H71"/>
    <mergeCell ref="A72:B72"/>
    <mergeCell ref="D72:H72"/>
    <mergeCell ref="A73:B73"/>
    <mergeCell ref="D73:H73"/>
    <mergeCell ref="A68:B68"/>
    <mergeCell ref="D68:H68"/>
    <mergeCell ref="A69:B69"/>
    <mergeCell ref="D69:H69"/>
    <mergeCell ref="A70:B70"/>
    <mergeCell ref="D70:H70"/>
    <mergeCell ref="A65:B65"/>
    <mergeCell ref="D65:H65"/>
    <mergeCell ref="A66:B66"/>
    <mergeCell ref="D66:H66"/>
    <mergeCell ref="A67:B67"/>
    <mergeCell ref="D67:H67"/>
    <mergeCell ref="A62:B62"/>
    <mergeCell ref="D62:H62"/>
    <mergeCell ref="A63:B63"/>
    <mergeCell ref="D63:H63"/>
    <mergeCell ref="A64:B64"/>
    <mergeCell ref="D64:H64"/>
    <mergeCell ref="A59:B59"/>
    <mergeCell ref="D59:H59"/>
    <mergeCell ref="A60:B60"/>
    <mergeCell ref="D60:H60"/>
    <mergeCell ref="A61:B61"/>
    <mergeCell ref="D61:H61"/>
    <mergeCell ref="A56:B56"/>
    <mergeCell ref="D56:H56"/>
    <mergeCell ref="A57:B57"/>
    <mergeCell ref="D57:H57"/>
    <mergeCell ref="A58:B58"/>
    <mergeCell ref="D58:H58"/>
    <mergeCell ref="A53:B53"/>
    <mergeCell ref="D53:H53"/>
    <mergeCell ref="A54:B54"/>
    <mergeCell ref="D54:H54"/>
    <mergeCell ref="A55:B55"/>
    <mergeCell ref="D55:H55"/>
    <mergeCell ref="A50:B50"/>
    <mergeCell ref="D50:H50"/>
    <mergeCell ref="A51:B51"/>
    <mergeCell ref="D51:H51"/>
    <mergeCell ref="A52:B52"/>
    <mergeCell ref="D52:H52"/>
    <mergeCell ref="A47:B47"/>
    <mergeCell ref="D47:H47"/>
    <mergeCell ref="A48:B48"/>
    <mergeCell ref="D48:H48"/>
    <mergeCell ref="A49:B49"/>
    <mergeCell ref="D49:H49"/>
    <mergeCell ref="D42:H42"/>
    <mergeCell ref="A44:L44"/>
    <mergeCell ref="A45:B45"/>
    <mergeCell ref="D45:H45"/>
    <mergeCell ref="A46:B46"/>
    <mergeCell ref="D46:H46"/>
    <mergeCell ref="A43:L43"/>
    <mergeCell ref="D36:H36"/>
    <mergeCell ref="D37:H37"/>
    <mergeCell ref="D38:H38"/>
    <mergeCell ref="D39:H39"/>
    <mergeCell ref="D40:H40"/>
    <mergeCell ref="D41:H41"/>
    <mergeCell ref="D30:H30"/>
    <mergeCell ref="D31:H31"/>
    <mergeCell ref="D32:H32"/>
    <mergeCell ref="D33:H33"/>
    <mergeCell ref="D34:H34"/>
    <mergeCell ref="D35:H35"/>
    <mergeCell ref="D24:H24"/>
    <mergeCell ref="D25:H25"/>
    <mergeCell ref="D26:H26"/>
    <mergeCell ref="D27:H27"/>
    <mergeCell ref="D28:H28"/>
    <mergeCell ref="D29:H29"/>
    <mergeCell ref="D18:H18"/>
    <mergeCell ref="D19:H19"/>
    <mergeCell ref="D20:H20"/>
    <mergeCell ref="D21:H21"/>
    <mergeCell ref="D22:H22"/>
    <mergeCell ref="D23:H23"/>
    <mergeCell ref="D15:H15"/>
    <mergeCell ref="D16:H16"/>
    <mergeCell ref="D17:H17"/>
    <mergeCell ref="A8:B8"/>
    <mergeCell ref="D8:H8"/>
    <mergeCell ref="D9:H9"/>
    <mergeCell ref="A10:B11"/>
    <mergeCell ref="D10:H10"/>
    <mergeCell ref="D11:H11"/>
    <mergeCell ref="B2:F2"/>
    <mergeCell ref="H2:J2"/>
    <mergeCell ref="B3:C3"/>
    <mergeCell ref="K3:L3"/>
    <mergeCell ref="A4:L4"/>
    <mergeCell ref="A7:L7"/>
    <mergeCell ref="D12:H12"/>
    <mergeCell ref="D13:H13"/>
    <mergeCell ref="D14:H14"/>
  </mergeCells>
  <phoneticPr fontId="4" type="noConversion"/>
  <dataValidations count="1">
    <dataValidation type="list" allowBlank="1" showInputMessage="1" showErrorMessage="1" sqref="O150">
      <formula1>$AG$2:$AG$3</formula1>
    </dataValidation>
  </dataValidations>
  <printOptions horizontalCentered="1"/>
  <pageMargins left="0.25" right="0.25" top="0.25" bottom="0.25" header="0" footer="0"/>
  <pageSetup fitToHeight="5" orientation="portrait" horizontalDpi="4294967292" verticalDpi="4294967292"/>
  <headerFooter>
    <oddFooter>&amp;L&amp;"Calibri,Regular"&amp;8&amp;K000000ea = each | lf = linear feet | ls = lump sum | sf = square feet | sy = square yards&amp;R&amp;"Calibri,Regular"&amp;8&amp;K000000Page &amp;P</oddFooter>
  </headerFooter>
  <rowBreaks count="4" manualBreakCount="4">
    <brk id="43" max="16383" man="1"/>
    <brk id="94" max="16383" man="1"/>
    <brk id="145" max="16383" man="1"/>
    <brk id="195"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0241" r:id="rId3" name="Check Box 1">
              <controlPr defaultSize="0" autoFill="0" autoLine="0" autoPict="0">
                <anchor moveWithCells="1">
                  <from>
                    <xdr:col>0</xdr:col>
                    <xdr:colOff>295275</xdr:colOff>
                    <xdr:row>5</xdr:row>
                    <xdr:rowOff>9525</xdr:rowOff>
                  </from>
                  <to>
                    <xdr:col>1</xdr:col>
                    <xdr:colOff>47625</xdr:colOff>
                    <xdr:row>5</xdr:row>
                    <xdr:rowOff>238125</xdr:rowOff>
                  </to>
                </anchor>
              </controlPr>
            </control>
          </mc:Choice>
        </mc:AlternateContent>
        <mc:AlternateContent xmlns:mc="http://schemas.openxmlformats.org/markup-compatibility/2006">
          <mc:Choice Requires="x14">
            <control shapeId="10242" r:id="rId4" name="Check Box 2">
              <controlPr defaultSize="0" autoFill="0" autoLine="0" autoPict="0">
                <anchor moveWithCells="1">
                  <from>
                    <xdr:col>1</xdr:col>
                    <xdr:colOff>333375</xdr:colOff>
                    <xdr:row>5</xdr:row>
                    <xdr:rowOff>9525</xdr:rowOff>
                  </from>
                  <to>
                    <xdr:col>2</xdr:col>
                    <xdr:colOff>76200</xdr:colOff>
                    <xdr:row>5</xdr:row>
                    <xdr:rowOff>238125</xdr:rowOff>
                  </to>
                </anchor>
              </controlPr>
            </control>
          </mc:Choice>
        </mc:AlternateContent>
        <mc:AlternateContent xmlns:mc="http://schemas.openxmlformats.org/markup-compatibility/2006">
          <mc:Choice Requires="x14">
            <control shapeId="10243" r:id="rId5" name="Check Box 3">
              <controlPr defaultSize="0" autoFill="0" autoLine="0" autoPict="0">
                <anchor moveWithCells="1">
                  <from>
                    <xdr:col>3</xdr:col>
                    <xdr:colOff>381000</xdr:colOff>
                    <xdr:row>5</xdr:row>
                    <xdr:rowOff>9525</xdr:rowOff>
                  </from>
                  <to>
                    <xdr:col>4</xdr:col>
                    <xdr:colOff>190500</xdr:colOff>
                    <xdr:row>5</xdr:row>
                    <xdr:rowOff>238125</xdr:rowOff>
                  </to>
                </anchor>
              </controlPr>
            </control>
          </mc:Choice>
        </mc:AlternateContent>
        <mc:AlternateContent xmlns:mc="http://schemas.openxmlformats.org/markup-compatibility/2006">
          <mc:Choice Requires="x14">
            <control shapeId="10244" r:id="rId6" name="Check Box 4">
              <controlPr defaultSize="0" autoFill="0" autoLine="0" autoPict="0">
                <anchor moveWithCells="1">
                  <from>
                    <xdr:col>4</xdr:col>
                    <xdr:colOff>485775</xdr:colOff>
                    <xdr:row>5</xdr:row>
                    <xdr:rowOff>9525</xdr:rowOff>
                  </from>
                  <to>
                    <xdr:col>4</xdr:col>
                    <xdr:colOff>876300</xdr:colOff>
                    <xdr:row>5</xdr:row>
                    <xdr:rowOff>238125</xdr:rowOff>
                  </to>
                </anchor>
              </controlPr>
            </control>
          </mc:Choice>
        </mc:AlternateContent>
        <mc:AlternateContent xmlns:mc="http://schemas.openxmlformats.org/markup-compatibility/2006">
          <mc:Choice Requires="x14">
            <control shapeId="10245" r:id="rId7" name="Check Box 5">
              <controlPr defaultSize="0" autoFill="0" autoLine="0" autoPict="0">
                <anchor moveWithCells="1">
                  <from>
                    <xdr:col>5</xdr:col>
                    <xdr:colOff>180975</xdr:colOff>
                    <xdr:row>5</xdr:row>
                    <xdr:rowOff>9525</xdr:rowOff>
                  </from>
                  <to>
                    <xdr:col>5</xdr:col>
                    <xdr:colOff>571500</xdr:colOff>
                    <xdr:row>5</xdr:row>
                    <xdr:rowOff>238125</xdr:rowOff>
                  </to>
                </anchor>
              </controlPr>
            </control>
          </mc:Choice>
        </mc:AlternateContent>
        <mc:AlternateContent xmlns:mc="http://schemas.openxmlformats.org/markup-compatibility/2006">
          <mc:Choice Requires="x14">
            <control shapeId="10246" r:id="rId8" name="Check Box 6">
              <controlPr defaultSize="0" autoFill="0" autoLine="0" autoPict="0">
                <anchor moveWithCells="1">
                  <from>
                    <xdr:col>6</xdr:col>
                    <xdr:colOff>733425</xdr:colOff>
                    <xdr:row>5</xdr:row>
                    <xdr:rowOff>9525</xdr:rowOff>
                  </from>
                  <to>
                    <xdr:col>7</xdr:col>
                    <xdr:colOff>142875</xdr:colOff>
                    <xdr:row>5</xdr:row>
                    <xdr:rowOff>238125</xdr:rowOff>
                  </to>
                </anchor>
              </controlPr>
            </control>
          </mc:Choice>
        </mc:AlternateContent>
        <mc:AlternateContent xmlns:mc="http://schemas.openxmlformats.org/markup-compatibility/2006">
          <mc:Choice Requires="x14">
            <control shapeId="10247" r:id="rId9" name="Check Box 7">
              <controlPr defaultSize="0" autoFill="0" autoLine="0" autoPict="0">
                <anchor moveWithCells="1">
                  <from>
                    <xdr:col>9</xdr:col>
                    <xdr:colOff>333375</xdr:colOff>
                    <xdr:row>5</xdr:row>
                    <xdr:rowOff>9525</xdr:rowOff>
                  </from>
                  <to>
                    <xdr:col>10</xdr:col>
                    <xdr:colOff>333375</xdr:colOff>
                    <xdr:row>5</xdr:row>
                    <xdr:rowOff>238125</xdr:rowOff>
                  </to>
                </anchor>
              </controlPr>
            </control>
          </mc:Choice>
        </mc:AlternateContent>
        <mc:AlternateContent xmlns:mc="http://schemas.openxmlformats.org/markup-compatibility/2006">
          <mc:Choice Requires="x14">
            <control shapeId="10248" r:id="rId10" name="Check Box 8">
              <controlPr defaultSize="0" autoFill="0" autoLine="0" autoPict="0">
                <anchor moveWithCells="1">
                  <from>
                    <xdr:col>10</xdr:col>
                    <xdr:colOff>581025</xdr:colOff>
                    <xdr:row>5</xdr:row>
                    <xdr:rowOff>9525</xdr:rowOff>
                  </from>
                  <to>
                    <xdr:col>11</xdr:col>
                    <xdr:colOff>228600</xdr:colOff>
                    <xdr:row>5</xdr:row>
                    <xdr:rowOff>238125</xdr:rowOff>
                  </to>
                </anchor>
              </controlPr>
            </control>
          </mc:Choice>
        </mc:AlternateContent>
        <mc:AlternateContent xmlns:mc="http://schemas.openxmlformats.org/markup-compatibility/2006">
          <mc:Choice Requires="x14">
            <control shapeId="10249" r:id="rId11" name="Check Box 9">
              <controlPr defaultSize="0" autoFill="0" autoLine="0" autoPict="0">
                <anchor moveWithCells="1">
                  <from>
                    <xdr:col>0</xdr:col>
                    <xdr:colOff>219075</xdr:colOff>
                    <xdr:row>4</xdr:row>
                    <xdr:rowOff>9525</xdr:rowOff>
                  </from>
                  <to>
                    <xdr:col>0</xdr:col>
                    <xdr:colOff>609600</xdr:colOff>
                    <xdr:row>4</xdr:row>
                    <xdr:rowOff>238125</xdr:rowOff>
                  </to>
                </anchor>
              </controlPr>
            </control>
          </mc:Choice>
        </mc:AlternateContent>
        <mc:AlternateContent xmlns:mc="http://schemas.openxmlformats.org/markup-compatibility/2006">
          <mc:Choice Requires="x14">
            <control shapeId="10250" r:id="rId12" name="Check Box 10">
              <controlPr defaultSize="0" autoFill="0" autoLine="0" autoPict="0">
                <anchor moveWithCells="1">
                  <from>
                    <xdr:col>1</xdr:col>
                    <xdr:colOff>466725</xdr:colOff>
                    <xdr:row>4</xdr:row>
                    <xdr:rowOff>9525</xdr:rowOff>
                  </from>
                  <to>
                    <xdr:col>2</xdr:col>
                    <xdr:colOff>219075</xdr:colOff>
                    <xdr:row>4</xdr:row>
                    <xdr:rowOff>238125</xdr:rowOff>
                  </to>
                </anchor>
              </controlPr>
            </control>
          </mc:Choice>
        </mc:AlternateContent>
        <mc:AlternateContent xmlns:mc="http://schemas.openxmlformats.org/markup-compatibility/2006">
          <mc:Choice Requires="x14">
            <control shapeId="10251" r:id="rId13" name="Check Box 11">
              <controlPr defaultSize="0" autoFill="0" autoLine="0" autoPict="0">
                <anchor moveWithCells="1">
                  <from>
                    <xdr:col>4</xdr:col>
                    <xdr:colOff>28575</xdr:colOff>
                    <xdr:row>4</xdr:row>
                    <xdr:rowOff>9525</xdr:rowOff>
                  </from>
                  <to>
                    <xdr:col>4</xdr:col>
                    <xdr:colOff>419100</xdr:colOff>
                    <xdr:row>4</xdr:row>
                    <xdr:rowOff>238125</xdr:rowOff>
                  </to>
                </anchor>
              </controlPr>
            </control>
          </mc:Choice>
        </mc:AlternateContent>
        <mc:AlternateContent xmlns:mc="http://schemas.openxmlformats.org/markup-compatibility/2006">
          <mc:Choice Requires="x14">
            <control shapeId="10252" r:id="rId14" name="Check Box 12">
              <controlPr defaultSize="0" autoFill="0" autoLine="0" autoPict="0">
                <anchor moveWithCells="1">
                  <from>
                    <xdr:col>5</xdr:col>
                    <xdr:colOff>47625</xdr:colOff>
                    <xdr:row>4</xdr:row>
                    <xdr:rowOff>9525</xdr:rowOff>
                  </from>
                  <to>
                    <xdr:col>5</xdr:col>
                    <xdr:colOff>447675</xdr:colOff>
                    <xdr:row>4</xdr:row>
                    <xdr:rowOff>238125</xdr:rowOff>
                  </to>
                </anchor>
              </controlPr>
            </control>
          </mc:Choice>
        </mc:AlternateContent>
        <mc:AlternateContent xmlns:mc="http://schemas.openxmlformats.org/markup-compatibility/2006">
          <mc:Choice Requires="x14">
            <control shapeId="10253" r:id="rId15" name="Check Box 13">
              <controlPr defaultSize="0" autoFill="0" autoLine="0" autoPict="0">
                <anchor moveWithCells="1">
                  <from>
                    <xdr:col>7</xdr:col>
                    <xdr:colOff>38100</xdr:colOff>
                    <xdr:row>4</xdr:row>
                    <xdr:rowOff>9525</xdr:rowOff>
                  </from>
                  <to>
                    <xdr:col>8</xdr:col>
                    <xdr:colOff>142875</xdr:colOff>
                    <xdr:row>4</xdr:row>
                    <xdr:rowOff>238125</xdr:rowOff>
                  </to>
                </anchor>
              </controlPr>
            </control>
          </mc:Choice>
        </mc:AlternateContent>
        <mc:AlternateContent xmlns:mc="http://schemas.openxmlformats.org/markup-compatibility/2006">
          <mc:Choice Requires="x14">
            <control shapeId="10254" r:id="rId16" name="Check Box 14">
              <controlPr defaultSize="0" autoFill="0" autoLine="0" autoPict="0">
                <anchor moveWithCells="1">
                  <from>
                    <xdr:col>10</xdr:col>
                    <xdr:colOff>333375</xdr:colOff>
                    <xdr:row>4</xdr:row>
                    <xdr:rowOff>9525</xdr:rowOff>
                  </from>
                  <to>
                    <xdr:col>10</xdr:col>
                    <xdr:colOff>723900</xdr:colOff>
                    <xdr:row>4</xdr:row>
                    <xdr:rowOff>238125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0"/>
  <sheetViews>
    <sheetView showGridLines="0" showZeros="0" zoomScale="110" zoomScaleNormal="110" zoomScalePageLayoutView="110" workbookViewId="0">
      <selection activeCell="D24" sqref="D24"/>
    </sheetView>
  </sheetViews>
  <sheetFormatPr defaultColWidth="10.875" defaultRowHeight="15.75"/>
  <cols>
    <col min="1" max="5" width="9.375" style="3" customWidth="1"/>
    <col min="6" max="6" width="1.5" style="3" customWidth="1"/>
    <col min="7" max="11" width="9.375" style="3" customWidth="1"/>
    <col min="12" max="12" width="5" style="3" customWidth="1"/>
    <col min="13" max="20" width="11.125" style="3" customWidth="1"/>
    <col min="21" max="16384" width="10.875" style="3"/>
  </cols>
  <sheetData>
    <row r="1" spans="1:20" ht="69" customHeight="1">
      <c r="A1" s="1" t="s">
        <v>321</v>
      </c>
      <c r="B1" s="2"/>
      <c r="C1" s="2"/>
      <c r="D1" s="2"/>
      <c r="E1" s="2"/>
      <c r="F1" s="2"/>
      <c r="G1" s="2"/>
      <c r="H1" s="2"/>
      <c r="I1" s="2"/>
      <c r="J1" s="2"/>
      <c r="K1" s="2"/>
    </row>
    <row r="2" spans="1:20" ht="24" customHeight="1">
      <c r="A2" s="679" t="s">
        <v>229</v>
      </c>
      <c r="B2" s="679"/>
      <c r="C2" s="583" t="str">
        <f>'Deal Information'!$C$8</f>
        <v>123 Main Street</v>
      </c>
      <c r="D2" s="583"/>
      <c r="E2" s="583"/>
      <c r="F2" s="583"/>
      <c r="G2" s="583"/>
      <c r="H2" s="583"/>
      <c r="I2" s="4" t="s">
        <v>313</v>
      </c>
      <c r="J2" s="678">
        <f>SUM('Deal Information'!C21)</f>
        <v>200000</v>
      </c>
      <c r="K2" s="678"/>
      <c r="M2" s="82" t="s">
        <v>348</v>
      </c>
      <c r="N2" s="100"/>
      <c r="O2" s="100"/>
      <c r="P2" s="100"/>
      <c r="Q2" s="100"/>
      <c r="R2" s="100"/>
      <c r="S2" s="100"/>
      <c r="T2" s="100"/>
    </row>
    <row r="3" spans="1:20" ht="24" customHeight="1">
      <c r="A3" s="65" t="s">
        <v>300</v>
      </c>
      <c r="B3" s="583">
        <f>SUM('Deal Information'!C9:E9)</f>
        <v>3</v>
      </c>
      <c r="C3" s="583"/>
      <c r="D3" s="4" t="s">
        <v>301</v>
      </c>
      <c r="E3" s="584">
        <f>SUM('Deal Information'!C10:E10)</f>
        <v>2</v>
      </c>
      <c r="F3" s="584"/>
      <c r="G3" s="584"/>
      <c r="H3" s="4" t="s">
        <v>302</v>
      </c>
      <c r="I3" s="689">
        <f>SUM('Deal Information'!C11:E11)</f>
        <v>1200</v>
      </c>
      <c r="J3" s="689"/>
      <c r="K3" s="689"/>
    </row>
    <row r="4" spans="1:20" ht="14.1" customHeight="1">
      <c r="A4" s="5"/>
      <c r="B4" s="6"/>
      <c r="C4" s="6"/>
      <c r="D4" s="7"/>
      <c r="E4" s="2"/>
      <c r="F4" s="2"/>
      <c r="G4" s="2"/>
      <c r="H4" s="7"/>
      <c r="I4" s="2"/>
      <c r="J4" s="2"/>
      <c r="K4" s="2"/>
    </row>
    <row r="5" spans="1:20" ht="24" customHeight="1">
      <c r="A5" s="681" t="s">
        <v>303</v>
      </c>
      <c r="B5" s="681"/>
      <c r="C5" s="681"/>
      <c r="D5" s="681"/>
      <c r="E5" s="681"/>
      <c r="F5" s="681"/>
      <c r="G5" s="681"/>
      <c r="H5" s="681"/>
      <c r="I5" s="681"/>
      <c r="J5" s="681"/>
      <c r="K5" s="681"/>
    </row>
    <row r="6" spans="1:20" ht="44.1" customHeight="1">
      <c r="A6" s="686" t="s">
        <v>333</v>
      </c>
      <c r="B6" s="686"/>
      <c r="C6" s="686"/>
      <c r="D6" s="686"/>
      <c r="E6" s="686"/>
      <c r="F6" s="686"/>
      <c r="G6" s="686"/>
      <c r="H6" s="686"/>
      <c r="I6" s="686"/>
      <c r="J6" s="686"/>
      <c r="K6" s="686"/>
    </row>
    <row r="7" spans="1:20" ht="15.95" customHeight="1">
      <c r="A7" s="5"/>
      <c r="B7" s="14" t="s">
        <v>304</v>
      </c>
      <c r="C7" s="682">
        <f>'Deal Information'!$H$11</f>
        <v>41275</v>
      </c>
      <c r="D7" s="682"/>
      <c r="E7" s="682"/>
      <c r="F7" s="682"/>
      <c r="G7" s="682"/>
      <c r="H7" s="682"/>
      <c r="I7" s="682"/>
      <c r="J7" s="2"/>
      <c r="K7" s="2"/>
    </row>
    <row r="8" spans="1:20" ht="15.95" customHeight="1">
      <c r="A8" s="5"/>
      <c r="B8" s="14" t="s">
        <v>305</v>
      </c>
      <c r="C8" s="684">
        <f>SUM('Deal Analyzer for Flips'!D24)</f>
        <v>150000</v>
      </c>
      <c r="D8" s="684"/>
      <c r="E8" s="684"/>
      <c r="F8" s="684"/>
      <c r="G8" s="684"/>
      <c r="H8" s="684"/>
      <c r="I8" s="684"/>
      <c r="J8" s="2"/>
      <c r="K8" s="2"/>
    </row>
    <row r="9" spans="1:20" ht="15.95" customHeight="1">
      <c r="A9" s="5"/>
      <c r="B9" s="14" t="s">
        <v>307</v>
      </c>
      <c r="C9" s="685" t="str">
        <f>CONCATENATE(('Deal Information'!C24)," months")</f>
        <v>4 months</v>
      </c>
      <c r="D9" s="683"/>
      <c r="E9" s="683"/>
      <c r="F9" s="683"/>
      <c r="G9" s="683"/>
      <c r="H9" s="683"/>
      <c r="I9" s="683"/>
      <c r="J9" s="2"/>
      <c r="K9" s="2"/>
    </row>
    <row r="10" spans="1:20" ht="15.95" customHeight="1">
      <c r="A10" s="5"/>
      <c r="B10" s="14" t="s">
        <v>306</v>
      </c>
      <c r="C10" s="683" t="str">
        <f>'Deal Information'!$H$12</f>
        <v xml:space="preserve">Sell to my Friend </v>
      </c>
      <c r="D10" s="683"/>
      <c r="E10" s="683"/>
      <c r="F10" s="683"/>
      <c r="G10" s="683"/>
      <c r="H10" s="683"/>
      <c r="I10" s="683"/>
      <c r="J10" s="2"/>
      <c r="K10" s="2"/>
    </row>
    <row r="11" spans="1:20" ht="15.95" customHeight="1">
      <c r="A11" s="5"/>
      <c r="B11" s="7"/>
      <c r="C11" s="6"/>
      <c r="D11" s="7"/>
      <c r="E11" s="2"/>
      <c r="F11" s="2"/>
      <c r="G11" s="2"/>
      <c r="H11" s="7"/>
      <c r="I11" s="2"/>
      <c r="J11" s="2"/>
      <c r="K11" s="2"/>
    </row>
    <row r="12" spans="1:20" s="8" customFormat="1" ht="21">
      <c r="A12" s="680" t="s">
        <v>297</v>
      </c>
      <c r="B12" s="680"/>
      <c r="C12" s="680"/>
      <c r="D12" s="680"/>
      <c r="E12" s="680"/>
      <c r="F12" s="680"/>
      <c r="G12" s="680"/>
      <c r="H12" s="680"/>
      <c r="I12" s="680"/>
      <c r="J12" s="680"/>
      <c r="K12" s="680"/>
    </row>
    <row r="13" spans="1:20" s="8" customFormat="1" ht="21.75" thickBot="1">
      <c r="A13" s="111"/>
      <c r="B13" s="110"/>
      <c r="C13" s="110"/>
      <c r="D13" s="110"/>
      <c r="E13" s="110"/>
      <c r="F13" s="113"/>
      <c r="G13" s="110"/>
      <c r="H13" s="110"/>
      <c r="I13" s="110"/>
      <c r="J13" s="110"/>
      <c r="K13" s="110"/>
    </row>
    <row r="14" spans="1:20" s="10" customFormat="1" ht="15" customHeight="1" thickBot="1">
      <c r="A14" s="687" t="s">
        <v>287</v>
      </c>
      <c r="B14" s="688"/>
      <c r="C14" s="688"/>
      <c r="D14" s="306" t="s">
        <v>291</v>
      </c>
      <c r="E14" s="307" t="s">
        <v>228</v>
      </c>
      <c r="G14" s="687" t="s">
        <v>292</v>
      </c>
      <c r="H14" s="688"/>
      <c r="I14" s="688"/>
      <c r="J14" s="306" t="s">
        <v>291</v>
      </c>
      <c r="K14" s="308" t="s">
        <v>228</v>
      </c>
    </row>
    <row r="15" spans="1:20" s="10" customFormat="1" ht="14.1" customHeight="1">
      <c r="A15" s="277" t="s">
        <v>288</v>
      </c>
      <c r="C15" s="9"/>
      <c r="D15" s="112">
        <f>SUM('Deal Analyzer for Flips'!D24)</f>
        <v>150000</v>
      </c>
      <c r="E15" s="278">
        <f>SUM(D15/$D$20)</f>
        <v>2.5586353944562901</v>
      </c>
      <c r="G15" s="277" t="s">
        <v>235</v>
      </c>
      <c r="I15" s="11"/>
      <c r="J15" s="112">
        <f>SUM('Deal Analyzer for Flips'!D16)</f>
        <v>50000</v>
      </c>
      <c r="K15" s="278">
        <f>SUM(J15/$J$20)</f>
        <v>0.85287846481876328</v>
      </c>
    </row>
    <row r="16" spans="1:20" s="10" customFormat="1" ht="14.1" customHeight="1">
      <c r="A16" s="277" t="s">
        <v>289</v>
      </c>
      <c r="C16" s="9"/>
      <c r="D16" s="112">
        <f>SUM('Deal Analyzer for Flips'!D29)</f>
        <v>0</v>
      </c>
      <c r="E16" s="278">
        <f>SUM(D16/$D$20)</f>
        <v>0</v>
      </c>
      <c r="G16" s="277" t="s">
        <v>293</v>
      </c>
      <c r="I16" s="11"/>
      <c r="J16" s="112">
        <f>SUM('Deal Analyzer for Flips'!D25,'Deal Analyzer for Flips'!F28:H29)</f>
        <v>1125</v>
      </c>
      <c r="K16" s="278">
        <f>SUM(J16/$J$20)</f>
        <v>1.9189765458422176E-2</v>
      </c>
    </row>
    <row r="17" spans="1:12" s="12" customFormat="1" ht="14.1" customHeight="1">
      <c r="A17" s="277" t="s">
        <v>290</v>
      </c>
      <c r="C17" s="11"/>
      <c r="D17" s="112">
        <f>'Deal Analyzer for Flips'!D50+'Deal Analyzer for Flips'!D51+'Deal Analyzer for Flips'!D53+'Deal Analyzer for Flips'!D54+'Deal Analyzer for Flips'!D25+'Deal Analyzer for Flips'!D26-D15-D16</f>
        <v>-91375</v>
      </c>
      <c r="E17" s="278">
        <f>SUM(D17/$D$20)</f>
        <v>-1.5586353944562901</v>
      </c>
      <c r="G17" s="277" t="s">
        <v>294</v>
      </c>
      <c r="I17" s="11"/>
      <c r="J17" s="112">
        <f>'Deal Analyzer for Flips'!D15</f>
        <v>0</v>
      </c>
      <c r="K17" s="278">
        <f>SUM(J17/$J$20)</f>
        <v>0</v>
      </c>
    </row>
    <row r="18" spans="1:12" s="12" customFormat="1" ht="14.1" customHeight="1">
      <c r="A18" s="277"/>
      <c r="C18" s="11"/>
      <c r="D18" s="373"/>
      <c r="E18" s="374"/>
      <c r="G18" s="277" t="s">
        <v>295</v>
      </c>
      <c r="I18" s="11"/>
      <c r="J18" s="112">
        <f>'Deal Analyzer for Flips'!D26</f>
        <v>6000</v>
      </c>
      <c r="K18" s="278">
        <f>SUM(J18/$J$20)</f>
        <v>0.1023454157782516</v>
      </c>
    </row>
    <row r="19" spans="1:12" s="12" customFormat="1" ht="14.1" customHeight="1">
      <c r="A19" s="277"/>
      <c r="C19" s="11"/>
      <c r="D19" s="375"/>
      <c r="E19" s="376"/>
      <c r="G19" s="277" t="s">
        <v>296</v>
      </c>
      <c r="I19" s="11"/>
      <c r="J19" s="279">
        <f>'Deal Analyzer for Flips'!D53</f>
        <v>1500</v>
      </c>
      <c r="K19" s="280">
        <f>SUM(J19/$J$20)</f>
        <v>2.5586353944562899E-2</v>
      </c>
    </row>
    <row r="20" spans="1:12" s="12" customFormat="1" ht="14.1" customHeight="1" thickBot="1">
      <c r="A20" s="281"/>
      <c r="B20" s="282"/>
      <c r="C20" s="283" t="s">
        <v>298</v>
      </c>
      <c r="D20" s="284">
        <f>SUM(D15:D17)</f>
        <v>58625</v>
      </c>
      <c r="E20" s="285">
        <f>SUM(E15:E17)</f>
        <v>1</v>
      </c>
      <c r="G20" s="281"/>
      <c r="H20" s="282"/>
      <c r="I20" s="283" t="s">
        <v>299</v>
      </c>
      <c r="J20" s="284">
        <f>SUM(J15:J19)</f>
        <v>58625</v>
      </c>
      <c r="K20" s="285">
        <f>SUM(K15:K19)</f>
        <v>1</v>
      </c>
    </row>
    <row r="21" spans="1:12" s="8" customFormat="1" ht="12.75">
      <c r="A21" s="13"/>
      <c r="B21" s="13"/>
      <c r="C21" s="13"/>
      <c r="D21" s="13"/>
      <c r="E21" s="13"/>
      <c r="F21" s="13"/>
      <c r="G21" s="13"/>
      <c r="H21" s="13"/>
      <c r="I21" s="13"/>
      <c r="J21" s="13"/>
      <c r="K21" s="13"/>
    </row>
    <row r="22" spans="1:12" s="8" customFormat="1" ht="21.75" thickBot="1">
      <c r="A22" s="680" t="s">
        <v>322</v>
      </c>
      <c r="B22" s="680"/>
      <c r="C22" s="680"/>
      <c r="D22" s="680"/>
      <c r="E22" s="680"/>
      <c r="F22" s="680"/>
      <c r="G22" s="680"/>
      <c r="H22" s="680"/>
      <c r="I22" s="680"/>
      <c r="J22" s="680"/>
      <c r="K22" s="680"/>
    </row>
    <row r="23" spans="1:12" s="8" customFormat="1" ht="15" customHeight="1">
      <c r="A23" s="701" t="s">
        <v>417</v>
      </c>
      <c r="B23" s="702"/>
      <c r="C23" s="703"/>
      <c r="D23" s="291" t="s">
        <v>332</v>
      </c>
      <c r="E23" s="676" t="s">
        <v>284</v>
      </c>
      <c r="F23" s="677"/>
      <c r="G23" s="291" t="s">
        <v>285</v>
      </c>
      <c r="H23" s="291" t="s">
        <v>328</v>
      </c>
      <c r="I23" s="291" t="s">
        <v>329</v>
      </c>
      <c r="J23" s="291" t="s">
        <v>324</v>
      </c>
      <c r="K23" s="292" t="s">
        <v>323</v>
      </c>
      <c r="L23" s="16"/>
    </row>
    <row r="24" spans="1:12" s="8" customFormat="1" ht="15" customHeight="1">
      <c r="A24" s="690" t="str">
        <f>'Deal Information'!$C$39</f>
        <v xml:space="preserve">123 Main Street </v>
      </c>
      <c r="B24" s="691"/>
      <c r="C24" s="692"/>
      <c r="D24" s="377" t="str">
        <f>'Deal Information'!$C$40</f>
        <v xml:space="preserve">SFH </v>
      </c>
      <c r="E24" s="672">
        <f>SUM('Deal Information'!C41)</f>
        <v>3</v>
      </c>
      <c r="F24" s="673"/>
      <c r="G24" s="377">
        <f>SUM('Deal Information'!C42)</f>
        <v>2</v>
      </c>
      <c r="H24" s="378">
        <f>SUM('Deal Information'!C43)</f>
        <v>1200</v>
      </c>
      <c r="I24" s="379">
        <f>'Deal Information'!C44</f>
        <v>1290</v>
      </c>
      <c r="J24" s="377">
        <f>SUM('Deal Information'!C45)</f>
        <v>1982</v>
      </c>
      <c r="K24" s="380">
        <f>'Deal Information'!$C$46</f>
        <v>1</v>
      </c>
      <c r="L24" s="16"/>
    </row>
    <row r="25" spans="1:12" s="8" customFormat="1" ht="15" customHeight="1">
      <c r="A25" s="693"/>
      <c r="B25" s="694"/>
      <c r="C25" s="695"/>
      <c r="D25" s="293" t="s">
        <v>326</v>
      </c>
      <c r="E25" s="674" t="s">
        <v>327</v>
      </c>
      <c r="F25" s="675"/>
      <c r="G25" s="293" t="s">
        <v>283</v>
      </c>
      <c r="H25" s="293" t="s">
        <v>330</v>
      </c>
      <c r="I25" s="293" t="s">
        <v>325</v>
      </c>
      <c r="J25" s="293" t="s">
        <v>331</v>
      </c>
      <c r="K25" s="294" t="s">
        <v>286</v>
      </c>
      <c r="L25" s="16"/>
    </row>
    <row r="26" spans="1:12" ht="15" customHeight="1" thickBot="1">
      <c r="A26" s="696"/>
      <c r="B26" s="697"/>
      <c r="C26" s="698"/>
      <c r="D26" s="381" t="str">
        <f>'Deal Information'!$C$47</f>
        <v xml:space="preserve">1 Car </v>
      </c>
      <c r="E26" s="670">
        <f>'Deal Information'!$C$48</f>
        <v>41305</v>
      </c>
      <c r="F26" s="671"/>
      <c r="G26" s="382">
        <f>SUM('Deal Information'!C49)</f>
        <v>135000</v>
      </c>
      <c r="H26" s="383">
        <f>'Deal Information'!$C$50</f>
        <v>41306</v>
      </c>
      <c r="I26" s="382">
        <f>SUM('Deal Information'!C51)</f>
        <v>135000</v>
      </c>
      <c r="J26" s="382">
        <f>SUM('Deal Information'!C52)</f>
        <v>65</v>
      </c>
      <c r="K26" s="384">
        <f>SUM('Deal Information'!C53)</f>
        <v>0</v>
      </c>
      <c r="L26" s="17"/>
    </row>
    <row r="27" spans="1:12" s="12" customFormat="1" ht="15" customHeight="1">
      <c r="A27" s="699" t="s">
        <v>418</v>
      </c>
      <c r="B27" s="700"/>
      <c r="C27" s="700"/>
      <c r="D27" s="291" t="s">
        <v>332</v>
      </c>
      <c r="E27" s="676" t="s">
        <v>284</v>
      </c>
      <c r="F27" s="677"/>
      <c r="G27" s="291" t="s">
        <v>285</v>
      </c>
      <c r="H27" s="291" t="s">
        <v>328</v>
      </c>
      <c r="I27" s="291" t="s">
        <v>329</v>
      </c>
      <c r="J27" s="291" t="s">
        <v>324</v>
      </c>
      <c r="K27" s="292" t="s">
        <v>323</v>
      </c>
      <c r="L27" s="18"/>
    </row>
    <row r="28" spans="1:12" s="8" customFormat="1" ht="15" customHeight="1">
      <c r="A28" s="690">
        <f>'Deal Information'!$G$39</f>
        <v>0</v>
      </c>
      <c r="B28" s="691"/>
      <c r="C28" s="692"/>
      <c r="D28" s="377">
        <f>'Deal Information'!$G$40</f>
        <v>0</v>
      </c>
      <c r="E28" s="672">
        <f>SUM('Deal Information'!G41)</f>
        <v>0</v>
      </c>
      <c r="F28" s="673"/>
      <c r="G28" s="377">
        <f>SUM('Deal Information'!G42)</f>
        <v>0</v>
      </c>
      <c r="H28" s="378">
        <f>SUM('Deal Information'!G43)</f>
        <v>0</v>
      </c>
      <c r="I28" s="379">
        <f>SUM('Deal Information'!G44)</f>
        <v>0</v>
      </c>
      <c r="J28" s="377">
        <f>SUM('Deal Information'!G45)</f>
        <v>0</v>
      </c>
      <c r="K28" s="380">
        <f>'Deal Information'!$G$46</f>
        <v>0</v>
      </c>
      <c r="L28" s="16"/>
    </row>
    <row r="29" spans="1:12" s="8" customFormat="1" ht="15" customHeight="1">
      <c r="A29" s="693"/>
      <c r="B29" s="694"/>
      <c r="C29" s="695"/>
      <c r="D29" s="293" t="s">
        <v>326</v>
      </c>
      <c r="E29" s="674" t="s">
        <v>327</v>
      </c>
      <c r="F29" s="675"/>
      <c r="G29" s="293" t="s">
        <v>283</v>
      </c>
      <c r="H29" s="293" t="s">
        <v>330</v>
      </c>
      <c r="I29" s="293" t="s">
        <v>325</v>
      </c>
      <c r="J29" s="293" t="s">
        <v>331</v>
      </c>
      <c r="K29" s="294" t="s">
        <v>286</v>
      </c>
      <c r="L29" s="16"/>
    </row>
    <row r="30" spans="1:12" s="8" customFormat="1" ht="15" customHeight="1" thickBot="1">
      <c r="A30" s="696"/>
      <c r="B30" s="697"/>
      <c r="C30" s="698"/>
      <c r="D30" s="381">
        <f>'Deal Information'!$G$47</f>
        <v>0</v>
      </c>
      <c r="E30" s="670">
        <f>'Deal Information'!$G$48</f>
        <v>0</v>
      </c>
      <c r="F30" s="671"/>
      <c r="G30" s="382">
        <f>SUM('Deal Information'!G53)</f>
        <v>0</v>
      </c>
      <c r="H30" s="383">
        <f>'Deal Information'!$G$50</f>
        <v>0</v>
      </c>
      <c r="I30" s="382">
        <f>'Deal Information'!G51</f>
        <v>0</v>
      </c>
      <c r="J30" s="382">
        <f>'Deal Information'!G52</f>
        <v>0</v>
      </c>
      <c r="K30" s="384">
        <f>'Deal Information'!G53</f>
        <v>0</v>
      </c>
      <c r="L30" s="16"/>
    </row>
    <row r="31" spans="1:12" s="8" customFormat="1" ht="15" customHeight="1">
      <c r="A31" s="699" t="s">
        <v>419</v>
      </c>
      <c r="B31" s="700"/>
      <c r="C31" s="700"/>
      <c r="D31" s="291" t="s">
        <v>332</v>
      </c>
      <c r="E31" s="676" t="s">
        <v>284</v>
      </c>
      <c r="F31" s="677"/>
      <c r="G31" s="291" t="s">
        <v>285</v>
      </c>
      <c r="H31" s="291" t="s">
        <v>328</v>
      </c>
      <c r="I31" s="291" t="s">
        <v>329</v>
      </c>
      <c r="J31" s="291" t="s">
        <v>324</v>
      </c>
      <c r="K31" s="292" t="s">
        <v>323</v>
      </c>
      <c r="L31" s="16"/>
    </row>
    <row r="32" spans="1:12" s="8" customFormat="1" ht="15" customHeight="1">
      <c r="A32" s="690">
        <f>'Deal Information'!$J$39</f>
        <v>0</v>
      </c>
      <c r="B32" s="691"/>
      <c r="C32" s="692"/>
      <c r="D32" s="377">
        <f>'Deal Information'!$J$40</f>
        <v>0</v>
      </c>
      <c r="E32" s="672">
        <f>SUM('Deal Information'!J41)</f>
        <v>0</v>
      </c>
      <c r="F32" s="673"/>
      <c r="G32" s="377">
        <f>SUM('Deal Information'!J42)</f>
        <v>0</v>
      </c>
      <c r="H32" s="378">
        <f>SUM('Deal Information'!J43)</f>
        <v>0</v>
      </c>
      <c r="I32" s="379">
        <f>SUM('Deal Information'!J44)</f>
        <v>0</v>
      </c>
      <c r="J32" s="377">
        <f>SUM('Deal Information'!J45)</f>
        <v>0</v>
      </c>
      <c r="K32" s="380">
        <f>'Deal Information'!$J$46</f>
        <v>0</v>
      </c>
      <c r="L32" s="16"/>
    </row>
    <row r="33" spans="1:12" s="8" customFormat="1" ht="15" customHeight="1">
      <c r="A33" s="693"/>
      <c r="B33" s="694"/>
      <c r="C33" s="695"/>
      <c r="D33" s="293" t="s">
        <v>326</v>
      </c>
      <c r="E33" s="674" t="s">
        <v>327</v>
      </c>
      <c r="F33" s="675"/>
      <c r="G33" s="293" t="s">
        <v>283</v>
      </c>
      <c r="H33" s="293" t="s">
        <v>330</v>
      </c>
      <c r="I33" s="293" t="s">
        <v>325</v>
      </c>
      <c r="J33" s="293" t="s">
        <v>331</v>
      </c>
      <c r="K33" s="294" t="s">
        <v>286</v>
      </c>
      <c r="L33" s="16"/>
    </row>
    <row r="34" spans="1:12" s="8" customFormat="1" ht="15" customHeight="1" thickBot="1">
      <c r="A34" s="696"/>
      <c r="B34" s="697"/>
      <c r="C34" s="698"/>
      <c r="D34" s="385">
        <f>'Deal Information'!$J$40</f>
        <v>0</v>
      </c>
      <c r="E34" s="670">
        <f>'Deal Information'!$J$48</f>
        <v>0</v>
      </c>
      <c r="F34" s="671"/>
      <c r="G34" s="382">
        <f>SUM('Deal Information'!J49)</f>
        <v>0</v>
      </c>
      <c r="H34" s="383">
        <f>'Deal Information'!$J$50</f>
        <v>0</v>
      </c>
      <c r="I34" s="382">
        <f>'Deal Information'!$J$51</f>
        <v>0</v>
      </c>
      <c r="J34" s="382">
        <f>'Deal Information'!$J$52</f>
        <v>0</v>
      </c>
      <c r="K34" s="405">
        <f>'Deal Information'!$J$53</f>
        <v>0</v>
      </c>
    </row>
    <row r="35" spans="1:12" s="8" customFormat="1" ht="12.75">
      <c r="A35" s="13"/>
      <c r="B35" s="13"/>
      <c r="C35" s="13"/>
      <c r="D35" s="13"/>
      <c r="E35" s="13"/>
      <c r="F35" s="13"/>
      <c r="G35" s="13"/>
      <c r="H35" s="13"/>
      <c r="I35" s="13"/>
      <c r="J35" s="13"/>
      <c r="K35" s="13"/>
    </row>
    <row r="36" spans="1:12" s="8" customFormat="1" ht="21">
      <c r="A36" s="680" t="s">
        <v>312</v>
      </c>
      <c r="B36" s="680"/>
      <c r="C36" s="680"/>
      <c r="D36" s="680"/>
      <c r="E36" s="680"/>
      <c r="F36" s="680"/>
      <c r="G36" s="680"/>
      <c r="H36" s="680"/>
      <c r="I36" s="680"/>
      <c r="J36" s="680"/>
      <c r="K36" s="680"/>
    </row>
    <row r="37" spans="1:12" s="8" customFormat="1" ht="12.75">
      <c r="A37" s="13"/>
      <c r="B37" s="13" t="s">
        <v>349</v>
      </c>
      <c r="C37" s="13"/>
      <c r="D37" s="13"/>
      <c r="E37" s="13"/>
      <c r="F37" s="13"/>
      <c r="G37" s="13"/>
      <c r="H37" s="13"/>
      <c r="I37" s="13"/>
      <c r="J37" s="13"/>
      <c r="K37" s="13"/>
    </row>
    <row r="38" spans="1:12" s="8" customFormat="1" ht="12.75">
      <c r="A38" s="13"/>
      <c r="B38" s="13" t="s">
        <v>308</v>
      </c>
      <c r="C38" s="13"/>
      <c r="D38" s="13"/>
      <c r="E38" s="13"/>
      <c r="F38" s="13"/>
      <c r="G38" s="13"/>
      <c r="H38" s="13"/>
      <c r="I38" s="13"/>
      <c r="J38" s="13"/>
      <c r="K38" s="13"/>
    </row>
    <row r="39" spans="1:12" s="8" customFormat="1" ht="12.75">
      <c r="A39" s="13"/>
      <c r="B39" s="13" t="s">
        <v>309</v>
      </c>
      <c r="C39" s="13"/>
      <c r="D39" s="13"/>
      <c r="E39" s="13"/>
      <c r="F39" s="13"/>
      <c r="G39" s="13"/>
      <c r="H39" s="13"/>
      <c r="I39" s="13"/>
      <c r="J39" s="13"/>
      <c r="K39" s="13"/>
    </row>
    <row r="40" spans="1:12" s="8" customFormat="1" ht="12.75">
      <c r="A40" s="13"/>
      <c r="B40" s="13" t="s">
        <v>310</v>
      </c>
      <c r="C40" s="13"/>
      <c r="D40" s="13"/>
      <c r="E40" s="13"/>
      <c r="F40" s="13"/>
      <c r="G40" s="13"/>
      <c r="H40" s="13"/>
      <c r="I40" s="13"/>
      <c r="J40" s="13"/>
      <c r="K40" s="13"/>
    </row>
    <row r="41" spans="1:12" s="8" customFormat="1" ht="12.75">
      <c r="A41" s="13"/>
      <c r="B41" s="13" t="s">
        <v>311</v>
      </c>
      <c r="C41" s="13"/>
      <c r="D41" s="13"/>
      <c r="E41" s="13"/>
      <c r="F41" s="13"/>
      <c r="G41" s="13"/>
      <c r="H41" s="13"/>
      <c r="I41" s="13"/>
      <c r="J41" s="13"/>
      <c r="K41" s="13"/>
    </row>
    <row r="42" spans="1:12" s="8" customFormat="1" ht="12.75"/>
    <row r="43" spans="1:12" s="8" customFormat="1" ht="12.75"/>
    <row r="44" spans="1:12" s="8" customFormat="1" ht="12.75"/>
    <row r="45" spans="1:12" s="8" customFormat="1" ht="12.75"/>
    <row r="46" spans="1:12" s="8" customFormat="1" ht="12.75"/>
    <row r="47" spans="1:12" s="8" customFormat="1" ht="12.75"/>
    <row r="48" spans="1:12" s="8" customFormat="1" ht="12.75"/>
    <row r="49" s="8" customFormat="1" ht="12.75"/>
    <row r="50" s="8" customFormat="1" ht="12.75"/>
    <row r="51" s="8" customFormat="1" ht="12.75"/>
    <row r="52" s="8" customFormat="1" ht="12.75"/>
    <row r="53" s="8" customFormat="1" ht="12.75"/>
    <row r="54" s="8" customFormat="1" ht="12.75"/>
    <row r="55" s="8" customFormat="1" ht="12.75"/>
    <row r="56" s="8" customFormat="1" ht="12.75"/>
    <row r="57" s="8" customFormat="1" ht="12.75"/>
    <row r="58" s="8" customFormat="1" ht="12.75"/>
    <row r="59" s="8" customFormat="1" ht="12.75"/>
    <row r="60" s="8" customFormat="1" ht="12.75"/>
    <row r="75" ht="18" customHeight="1"/>
    <row r="76" s="12" customFormat="1" ht="14.1" customHeight="1"/>
    <row r="77" s="8" customFormat="1" ht="14.1" customHeight="1"/>
    <row r="78" s="8" customFormat="1" ht="14.1" customHeight="1"/>
    <row r="79" s="8" customFormat="1" ht="14.1" customHeight="1"/>
    <row r="80" s="8" customFormat="1" ht="14.1" customHeight="1"/>
    <row r="81" s="8" customFormat="1" ht="14.1" customHeight="1"/>
    <row r="82" s="8" customFormat="1" ht="14.1" customHeight="1"/>
    <row r="83" s="8" customFormat="1" ht="14.1" customHeight="1"/>
    <row r="84" s="8" customFormat="1" ht="14.1" customHeight="1"/>
    <row r="85" s="8" customFormat="1" ht="14.1" customHeight="1"/>
    <row r="86" s="8" customFormat="1" ht="14.1" customHeight="1"/>
    <row r="87" s="8" customFormat="1" ht="14.1" customHeight="1"/>
    <row r="88" s="8" customFormat="1" ht="14.1" customHeight="1"/>
    <row r="89" s="8" customFormat="1" ht="14.1" customHeight="1"/>
    <row r="90" s="8" customFormat="1" ht="14.1" customHeight="1"/>
    <row r="91" s="8" customFormat="1" ht="14.1" customHeight="1"/>
    <row r="92" s="8" customFormat="1" ht="14.1" customHeight="1"/>
    <row r="93" s="8" customFormat="1" ht="14.1" customHeight="1"/>
    <row r="94" s="8" customFormat="1" ht="14.1" customHeight="1"/>
    <row r="95" s="8" customFormat="1" ht="14.1" customHeight="1"/>
    <row r="96" s="8" customFormat="1" ht="14.1" customHeight="1"/>
    <row r="97" spans="1:2" s="8" customFormat="1" ht="14.1" customHeight="1"/>
    <row r="98" spans="1:2" s="8" customFormat="1" ht="14.1" customHeight="1"/>
    <row r="99" spans="1:2" s="8" customFormat="1" ht="14.1" customHeight="1"/>
    <row r="100" spans="1:2" s="8" customFormat="1" ht="14.1" customHeight="1"/>
    <row r="101" spans="1:2" s="8" customFormat="1" ht="14.1" customHeight="1"/>
    <row r="102" spans="1:2" s="8" customFormat="1" ht="14.1" customHeight="1"/>
    <row r="103" spans="1:2" s="8" customFormat="1" ht="14.1" customHeight="1"/>
    <row r="104" spans="1:2" s="8" customFormat="1" ht="14.1" customHeight="1"/>
    <row r="105" spans="1:2" s="8" customFormat="1" ht="14.1" customHeight="1"/>
    <row r="106" spans="1:2" s="8" customFormat="1" ht="14.1" customHeight="1"/>
    <row r="107" spans="1:2" s="8" customFormat="1" ht="14.1" customHeight="1"/>
    <row r="108" spans="1:2" s="8" customFormat="1" ht="14.1" customHeight="1">
      <c r="A108" s="16"/>
      <c r="B108" s="16"/>
    </row>
    <row r="109" spans="1:2" s="8" customFormat="1" ht="14.1" customHeight="1">
      <c r="A109" s="16"/>
      <c r="B109" s="16"/>
    </row>
    <row r="110" spans="1:2" s="8" customFormat="1" ht="14.1" customHeight="1">
      <c r="A110" s="19" t="s">
        <v>219</v>
      </c>
      <c r="B110" s="20"/>
    </row>
    <row r="111" spans="1:2" s="8" customFormat="1" ht="14.1" customHeight="1">
      <c r="A111" s="16"/>
      <c r="B111" s="20"/>
    </row>
    <row r="112" spans="1:2" s="8" customFormat="1" ht="14.1" customHeight="1">
      <c r="A112" s="16"/>
      <c r="B112" s="20"/>
    </row>
    <row r="113" spans="1:2" s="8" customFormat="1" ht="15.95" customHeight="1">
      <c r="A113" s="16"/>
      <c r="B113" s="20"/>
    </row>
    <row r="114" spans="1:2" s="8" customFormat="1" ht="14.1" customHeight="1"/>
    <row r="115" spans="1:2" s="8" customFormat="1" ht="14.1" customHeight="1"/>
    <row r="116" spans="1:2" s="8" customFormat="1" ht="14.1" customHeight="1"/>
    <row r="117" spans="1:2" s="8" customFormat="1" ht="14.1" customHeight="1"/>
    <row r="118" spans="1:2" s="8" customFormat="1" ht="14.1" customHeight="1"/>
    <row r="119" spans="1:2" s="8" customFormat="1" ht="14.1" customHeight="1"/>
    <row r="120" spans="1:2" s="8" customFormat="1" ht="14.1" customHeight="1"/>
    <row r="121" spans="1:2" s="8" customFormat="1" ht="14.1" customHeight="1"/>
    <row r="122" spans="1:2" s="8" customFormat="1" ht="14.1" customHeight="1"/>
    <row r="123" spans="1:2" s="8" customFormat="1" ht="14.1" customHeight="1"/>
    <row r="124" spans="1:2" s="8" customFormat="1" ht="14.1" customHeight="1"/>
    <row r="125" spans="1:2" s="8" customFormat="1" ht="14.1" customHeight="1"/>
    <row r="127" spans="1:2" s="12" customFormat="1" ht="17.100000000000001" customHeight="1"/>
    <row r="128" spans="1:2" s="8" customFormat="1" ht="12.75"/>
    <row r="129" s="8" customFormat="1" ht="12.75"/>
    <row r="130" s="8" customFormat="1" ht="12.75"/>
    <row r="131" s="8" customFormat="1" ht="12.75"/>
    <row r="132" s="8" customFormat="1" ht="12.75"/>
    <row r="133" s="8" customFormat="1" ht="12.75"/>
    <row r="134" s="8" customFormat="1" ht="12.75"/>
    <row r="135" s="8" customFormat="1" ht="12.75"/>
    <row r="136" s="8" customFormat="1" ht="12.75"/>
    <row r="137" s="8" customFormat="1" ht="12.75"/>
    <row r="138" s="8" customFormat="1" ht="12.75"/>
    <row r="139" s="8" customFormat="1" ht="12.75"/>
    <row r="140" s="8" customFormat="1" ht="12.75"/>
    <row r="141" s="8" customFormat="1" ht="12.75"/>
    <row r="142" s="8" customFormat="1" ht="12.75"/>
    <row r="143" s="8" customFormat="1" ht="12.75"/>
    <row r="144" s="8" customFormat="1" ht="12.75"/>
    <row r="145" s="8" customFormat="1" ht="12.75"/>
    <row r="146" s="8" customFormat="1" ht="12.75"/>
    <row r="147" s="8" customFormat="1" ht="12.75"/>
    <row r="148" s="8" customFormat="1" ht="12.75"/>
    <row r="149" s="8" customFormat="1" ht="12.75"/>
    <row r="150" s="8" customFormat="1" ht="12.75"/>
    <row r="151" s="8" customFormat="1" ht="12.75"/>
    <row r="152" s="8" customFormat="1" ht="12.75"/>
    <row r="153" s="8" customFormat="1" ht="12.75"/>
    <row r="154" s="8" customFormat="1" ht="12.75"/>
    <row r="155" s="8" customFormat="1" ht="12.75"/>
    <row r="156" s="8" customFormat="1" ht="12.75"/>
    <row r="157" s="8" customFormat="1" ht="12.75"/>
    <row r="158" s="8" customFormat="1" ht="12.75"/>
    <row r="159" s="8" customFormat="1" ht="12.75"/>
    <row r="160" s="8" customFormat="1" ht="12.75"/>
    <row r="161" s="8" customFormat="1" ht="12.75"/>
    <row r="162" s="8" customFormat="1" ht="12.75"/>
    <row r="163" s="8" customFormat="1" ht="12.75"/>
    <row r="177" s="12" customFormat="1" ht="17.100000000000001" customHeight="1"/>
    <row r="178" s="8" customFormat="1" ht="12.75"/>
    <row r="179" s="8" customFormat="1" ht="12.75"/>
    <row r="180" s="8" customFormat="1" ht="12.75"/>
    <row r="181" s="8" customFormat="1" ht="12.75"/>
    <row r="182" s="8" customFormat="1" ht="12.75"/>
    <row r="183" s="8" customFormat="1" ht="12.75"/>
    <row r="184" s="8" customFormat="1" ht="12.75"/>
    <row r="185" s="8" customFormat="1" ht="12.75"/>
    <row r="186" s="8" customFormat="1" ht="12.75"/>
    <row r="187" s="8" customFormat="1" ht="12.75"/>
    <row r="188" s="8" customFormat="1" ht="12.75"/>
    <row r="189" s="8" customFormat="1" ht="12.75"/>
    <row r="190" s="8" customFormat="1" ht="12.75"/>
    <row r="191" s="8" customFormat="1" ht="12.75"/>
    <row r="192" s="8" customFormat="1" ht="12.75"/>
    <row r="193" s="8" customFormat="1" ht="12.75"/>
    <row r="196" s="10" customFormat="1" ht="18" customHeight="1"/>
    <row r="197" s="8" customFormat="1" ht="12.75"/>
    <row r="198" s="8" customFormat="1" ht="12.75"/>
    <row r="199" s="8" customFormat="1" ht="12.75"/>
    <row r="200" s="8" customFormat="1" ht="12.75"/>
    <row r="201" s="8" customFormat="1" ht="12.75"/>
    <row r="202" s="8" customFormat="1" ht="12.75"/>
    <row r="203" s="8" customFormat="1" ht="12.75"/>
    <row r="204" s="8" customFormat="1" ht="12.75"/>
    <row r="205" s="8" customFormat="1" ht="12.75"/>
    <row r="206" s="8" customFormat="1" ht="12.75"/>
    <row r="207" s="8" customFormat="1" ht="12.75"/>
    <row r="208" s="8" customFormat="1" ht="12.75"/>
    <row r="209" s="8" customFormat="1" ht="12.75"/>
    <row r="210" s="8" customFormat="1" ht="12.75"/>
    <row r="211" s="8" customFormat="1" ht="12.75"/>
    <row r="212" s="8" customFormat="1" ht="12.75"/>
    <row r="213" s="8" customFormat="1" ht="12.75"/>
    <row r="219" ht="27" customHeight="1"/>
    <row r="220" ht="27" customHeight="1"/>
  </sheetData>
  <sheetProtection sheet="1" objects="1" scenarios="1"/>
  <mergeCells count="35">
    <mergeCell ref="A36:K36"/>
    <mergeCell ref="B3:C3"/>
    <mergeCell ref="E3:G3"/>
    <mergeCell ref="I3:K3"/>
    <mergeCell ref="A24:C26"/>
    <mergeCell ref="A28:C30"/>
    <mergeCell ref="A32:C34"/>
    <mergeCell ref="A31:C31"/>
    <mergeCell ref="A23:C23"/>
    <mergeCell ref="A27:C27"/>
    <mergeCell ref="E23:F23"/>
    <mergeCell ref="E24:F24"/>
    <mergeCell ref="E25:F25"/>
    <mergeCell ref="E26:F26"/>
    <mergeCell ref="E27:F27"/>
    <mergeCell ref="E33:F33"/>
    <mergeCell ref="J2:K2"/>
    <mergeCell ref="C2:H2"/>
    <mergeCell ref="A2:B2"/>
    <mergeCell ref="A22:K22"/>
    <mergeCell ref="A12:K12"/>
    <mergeCell ref="A5:K5"/>
    <mergeCell ref="C7:I7"/>
    <mergeCell ref="C10:I10"/>
    <mergeCell ref="C8:I8"/>
    <mergeCell ref="C9:I9"/>
    <mergeCell ref="A6:K6"/>
    <mergeCell ref="G14:I14"/>
    <mergeCell ref="A14:C14"/>
    <mergeCell ref="E34:F34"/>
    <mergeCell ref="E28:F28"/>
    <mergeCell ref="E29:F29"/>
    <mergeCell ref="E30:F30"/>
    <mergeCell ref="E31:F31"/>
    <mergeCell ref="E32:F32"/>
  </mergeCells>
  <phoneticPr fontId="4" type="noConversion"/>
  <printOptions horizontalCentered="1"/>
  <pageMargins left="0.25" right="0.25" top="0.25" bottom="0.25" header="0" footer="0"/>
  <pageSetup orientation="portrait" horizontalDpi="4294967292" verticalDpi="4294967292"/>
  <rowBreaks count="1" manualBreakCount="1">
    <brk id="74"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election activeCell="A53" sqref="A53"/>
    </sheetView>
  </sheetViews>
  <sheetFormatPr defaultColWidth="11" defaultRowHeight="15.75"/>
  <cols>
    <col min="1" max="1" width="27" customWidth="1"/>
  </cols>
  <sheetData>
    <row r="1" spans="1:8" s="145" customFormat="1" ht="29.1" customHeight="1">
      <c r="A1" s="713" t="s">
        <v>425</v>
      </c>
      <c r="B1" s="713"/>
      <c r="C1" s="713"/>
      <c r="D1" s="713"/>
      <c r="E1" s="713"/>
      <c r="F1" s="713"/>
      <c r="G1" s="713"/>
      <c r="H1" s="713"/>
    </row>
    <row r="2" spans="1:8" ht="15.95" customHeight="1">
      <c r="A2" s="712" t="s">
        <v>429</v>
      </c>
      <c r="B2" s="712"/>
      <c r="C2" s="712"/>
      <c r="D2" s="712"/>
      <c r="E2" s="712"/>
      <c r="F2" s="712"/>
      <c r="G2" s="712"/>
      <c r="H2" s="712"/>
    </row>
    <row r="3" spans="1:8" ht="15.95" customHeight="1">
      <c r="A3" s="712"/>
      <c r="B3" s="712"/>
      <c r="C3" s="712"/>
      <c r="D3" s="712"/>
      <c r="E3" s="712"/>
      <c r="F3" s="712"/>
      <c r="G3" s="712"/>
      <c r="H3" s="712"/>
    </row>
    <row r="4" spans="1:8" ht="15.95" customHeight="1">
      <c r="A4" s="712"/>
      <c r="B4" s="712"/>
      <c r="C4" s="712"/>
      <c r="D4" s="712"/>
      <c r="E4" s="712"/>
      <c r="F4" s="712"/>
      <c r="G4" s="712"/>
      <c r="H4" s="712"/>
    </row>
    <row r="5" spans="1:8" ht="15.95" customHeight="1">
      <c r="A5" s="712"/>
      <c r="B5" s="712"/>
      <c r="C5" s="712"/>
      <c r="D5" s="712"/>
      <c r="E5" s="712"/>
      <c r="F5" s="712"/>
      <c r="G5" s="712"/>
      <c r="H5" s="712"/>
    </row>
    <row r="6" spans="1:8" ht="15.95" customHeight="1" thickBot="1">
      <c r="A6" s="386"/>
      <c r="B6" s="386"/>
      <c r="C6" s="386"/>
      <c r="D6" s="386"/>
      <c r="E6" s="386"/>
      <c r="F6" s="386"/>
      <c r="G6" s="386"/>
      <c r="H6" s="386"/>
    </row>
    <row r="7" spans="1:8" ht="19.5" thickBot="1">
      <c r="A7" s="387" t="s">
        <v>424</v>
      </c>
      <c r="B7" s="388" t="s">
        <v>426</v>
      </c>
      <c r="C7" s="388" t="s">
        <v>15</v>
      </c>
      <c r="D7" s="710" t="s">
        <v>427</v>
      </c>
      <c r="E7" s="710"/>
      <c r="F7" s="710"/>
      <c r="G7" s="710"/>
      <c r="H7" s="711"/>
    </row>
    <row r="8" spans="1:8">
      <c r="A8" s="389"/>
      <c r="B8" s="390">
        <v>0</v>
      </c>
      <c r="C8" s="391">
        <v>3</v>
      </c>
      <c r="D8" s="704" t="s">
        <v>428</v>
      </c>
      <c r="E8" s="704"/>
      <c r="F8" s="704"/>
      <c r="G8" s="704"/>
      <c r="H8" s="705"/>
    </row>
    <row r="9" spans="1:8">
      <c r="A9" s="389"/>
      <c r="B9" s="392">
        <v>1001</v>
      </c>
      <c r="C9" s="393">
        <v>5</v>
      </c>
      <c r="D9" s="706"/>
      <c r="E9" s="706"/>
      <c r="F9" s="706"/>
      <c r="G9" s="706"/>
      <c r="H9" s="707"/>
    </row>
    <row r="10" spans="1:8">
      <c r="A10" s="389"/>
      <c r="B10" s="392">
        <v>2501</v>
      </c>
      <c r="C10" s="394">
        <v>7</v>
      </c>
      <c r="D10" s="706"/>
      <c r="E10" s="706"/>
      <c r="F10" s="706"/>
      <c r="G10" s="706"/>
      <c r="H10" s="707"/>
    </row>
    <row r="11" spans="1:8" ht="16.5" thickBot="1">
      <c r="A11" s="389"/>
      <c r="B11" s="392">
        <v>3001</v>
      </c>
      <c r="C11" s="395">
        <v>9</v>
      </c>
      <c r="D11" s="708"/>
      <c r="E11" s="708"/>
      <c r="F11" s="708"/>
      <c r="G11" s="708"/>
      <c r="H11" s="709"/>
    </row>
    <row r="12" spans="1:8">
      <c r="A12" s="389"/>
      <c r="B12" s="396"/>
      <c r="C12" s="397"/>
      <c r="D12" s="389"/>
      <c r="E12" s="389"/>
      <c r="F12" s="389"/>
      <c r="G12" s="389"/>
      <c r="H12" s="389"/>
    </row>
    <row r="13" spans="1:8" ht="16.5" thickBot="1">
      <c r="A13" s="389"/>
      <c r="B13" s="398"/>
      <c r="C13" s="399"/>
      <c r="D13" s="389"/>
      <c r="E13" s="389"/>
      <c r="F13" s="389"/>
      <c r="G13" s="389"/>
      <c r="H13" s="389"/>
    </row>
    <row r="14" spans="1:8">
      <c r="A14" s="389"/>
      <c r="B14" s="389"/>
      <c r="C14" s="389"/>
      <c r="D14" s="389"/>
      <c r="E14" s="389"/>
      <c r="F14" s="389"/>
      <c r="G14" s="389"/>
      <c r="H14" s="389"/>
    </row>
    <row r="15" spans="1:8">
      <c r="A15" s="389"/>
      <c r="B15" s="389"/>
      <c r="C15" s="389"/>
      <c r="D15" s="389"/>
      <c r="E15" s="389"/>
      <c r="F15" s="389"/>
      <c r="G15" s="389"/>
      <c r="H15" s="389"/>
    </row>
    <row r="16" spans="1:8">
      <c r="A16" s="389"/>
      <c r="B16" s="389"/>
      <c r="C16" s="389"/>
      <c r="D16" s="389"/>
      <c r="E16" s="389"/>
      <c r="F16" s="389"/>
      <c r="G16" s="389"/>
      <c r="H16" s="389"/>
    </row>
    <row r="17" spans="1:8">
      <c r="A17" s="389"/>
      <c r="B17" s="389"/>
      <c r="C17" s="389"/>
      <c r="D17" s="389"/>
      <c r="E17" s="389"/>
      <c r="F17" s="389"/>
      <c r="G17" s="389"/>
      <c r="H17" s="389"/>
    </row>
    <row r="18" spans="1:8">
      <c r="A18" s="389"/>
      <c r="B18" s="389"/>
      <c r="C18" s="389"/>
      <c r="D18" s="389"/>
      <c r="E18" s="389"/>
      <c r="F18" s="389"/>
      <c r="G18" s="389"/>
      <c r="H18" s="389"/>
    </row>
    <row r="19" spans="1:8">
      <c r="A19" s="389"/>
      <c r="B19" s="389"/>
      <c r="C19" s="389"/>
      <c r="D19" s="389"/>
      <c r="E19" s="389"/>
      <c r="F19" s="389"/>
      <c r="G19" s="389"/>
      <c r="H19" s="389"/>
    </row>
    <row r="20" spans="1:8">
      <c r="A20" s="389"/>
      <c r="B20" s="389"/>
      <c r="C20" s="389"/>
      <c r="D20" s="389"/>
      <c r="E20" s="389"/>
      <c r="F20" s="389"/>
      <c r="G20" s="389"/>
      <c r="H20" s="389"/>
    </row>
    <row r="21" spans="1:8">
      <c r="A21" s="389"/>
      <c r="B21" s="389"/>
      <c r="C21" s="389"/>
      <c r="D21" s="389"/>
      <c r="E21" s="389"/>
      <c r="F21" s="389"/>
      <c r="G21" s="389"/>
      <c r="H21" s="389"/>
    </row>
    <row r="22" spans="1:8">
      <c r="A22" s="389"/>
      <c r="B22" s="389"/>
      <c r="C22" s="389"/>
      <c r="D22" s="389"/>
      <c r="E22" s="389"/>
      <c r="F22" s="389"/>
      <c r="G22" s="389"/>
      <c r="H22" s="389"/>
    </row>
    <row r="23" spans="1:8">
      <c r="A23" s="389"/>
      <c r="B23" s="389"/>
      <c r="C23" s="389"/>
      <c r="D23" s="389"/>
      <c r="E23" s="389"/>
      <c r="F23" s="389"/>
      <c r="G23" s="389"/>
      <c r="H23" s="389"/>
    </row>
    <row r="24" spans="1:8">
      <c r="A24" s="389"/>
      <c r="B24" s="389"/>
      <c r="C24" s="389"/>
      <c r="D24" s="389"/>
      <c r="E24" s="389"/>
      <c r="F24" s="389"/>
      <c r="G24" s="389"/>
      <c r="H24" s="389"/>
    </row>
    <row r="25" spans="1:8">
      <c r="A25" s="389"/>
      <c r="B25" s="389"/>
      <c r="C25" s="389"/>
      <c r="D25" s="389"/>
      <c r="E25" s="389"/>
      <c r="F25" s="389"/>
      <c r="G25" s="389"/>
      <c r="H25" s="389"/>
    </row>
    <row r="26" spans="1:8">
      <c r="A26" s="389"/>
      <c r="B26" s="389"/>
      <c r="C26" s="389"/>
      <c r="D26" s="389"/>
      <c r="E26" s="389"/>
      <c r="F26" s="389"/>
      <c r="G26" s="389"/>
      <c r="H26" s="389"/>
    </row>
    <row r="27" spans="1:8">
      <c r="A27" s="389"/>
      <c r="B27" s="389"/>
      <c r="C27" s="389"/>
      <c r="D27" s="389"/>
      <c r="E27" s="389"/>
      <c r="F27" s="389"/>
      <c r="G27" s="389"/>
      <c r="H27" s="389"/>
    </row>
    <row r="28" spans="1:8">
      <c r="A28" s="389"/>
      <c r="B28" s="389"/>
      <c r="C28" s="389"/>
      <c r="D28" s="389"/>
      <c r="E28" s="389"/>
      <c r="F28" s="389"/>
      <c r="G28" s="389"/>
      <c r="H28" s="389"/>
    </row>
    <row r="29" spans="1:8">
      <c r="A29" s="389"/>
      <c r="B29" s="389"/>
      <c r="C29" s="389"/>
      <c r="D29" s="389"/>
      <c r="E29" s="389"/>
      <c r="F29" s="389"/>
      <c r="G29" s="389"/>
      <c r="H29" s="389"/>
    </row>
    <row r="30" spans="1:8">
      <c r="A30" s="389"/>
      <c r="B30" s="389"/>
      <c r="C30" s="389"/>
      <c r="D30" s="389"/>
      <c r="E30" s="389"/>
      <c r="F30" s="389"/>
      <c r="G30" s="389"/>
      <c r="H30" s="389"/>
    </row>
    <row r="31" spans="1:8">
      <c r="A31" s="389"/>
      <c r="B31" s="389"/>
      <c r="C31" s="389"/>
      <c r="D31" s="389"/>
      <c r="E31" s="389"/>
      <c r="F31" s="389"/>
      <c r="G31" s="389"/>
      <c r="H31" s="389"/>
    </row>
    <row r="32" spans="1:8">
      <c r="A32" s="389"/>
      <c r="B32" s="389"/>
      <c r="C32" s="389"/>
      <c r="D32" s="389"/>
      <c r="E32" s="389"/>
      <c r="F32" s="389"/>
      <c r="G32" s="389"/>
      <c r="H32" s="389"/>
    </row>
    <row r="33" spans="1:8">
      <c r="A33" s="389"/>
      <c r="B33" s="389"/>
      <c r="C33" s="389"/>
      <c r="D33" s="389"/>
      <c r="E33" s="389"/>
      <c r="F33" s="389"/>
      <c r="G33" s="389"/>
      <c r="H33" s="389"/>
    </row>
    <row r="34" spans="1:8">
      <c r="A34" s="389"/>
      <c r="B34" s="389"/>
      <c r="C34" s="389"/>
      <c r="D34" s="389"/>
      <c r="E34" s="389"/>
      <c r="F34" s="389"/>
      <c r="G34" s="389"/>
      <c r="H34" s="389"/>
    </row>
    <row r="35" spans="1:8">
      <c r="A35" s="389"/>
      <c r="B35" s="389"/>
      <c r="C35" s="389"/>
      <c r="D35" s="389"/>
      <c r="E35" s="389"/>
      <c r="F35" s="389"/>
      <c r="G35" s="389"/>
      <c r="H35" s="389"/>
    </row>
    <row r="36" spans="1:8">
      <c r="A36" s="389"/>
      <c r="B36" s="389"/>
      <c r="C36" s="389"/>
      <c r="D36" s="389"/>
      <c r="E36" s="389"/>
      <c r="F36" s="389"/>
      <c r="G36" s="389"/>
      <c r="H36" s="389"/>
    </row>
    <row r="37" spans="1:8">
      <c r="A37" s="389"/>
      <c r="B37" s="389"/>
      <c r="C37" s="389"/>
      <c r="D37" s="389"/>
      <c r="E37" s="389"/>
      <c r="F37" s="389"/>
      <c r="G37" s="389"/>
      <c r="H37" s="389"/>
    </row>
    <row r="38" spans="1:8">
      <c r="A38" s="389"/>
      <c r="B38" s="389"/>
      <c r="C38" s="389"/>
      <c r="D38" s="389"/>
      <c r="E38" s="389"/>
      <c r="F38" s="389"/>
      <c r="G38" s="389"/>
      <c r="H38" s="389"/>
    </row>
    <row r="39" spans="1:8">
      <c r="A39" s="389"/>
      <c r="B39" s="389"/>
      <c r="C39" s="389"/>
      <c r="D39" s="389"/>
      <c r="E39" s="389"/>
      <c r="F39" s="389"/>
      <c r="G39" s="389"/>
      <c r="H39" s="389"/>
    </row>
    <row r="40" spans="1:8">
      <c r="A40" s="389"/>
      <c r="B40" s="389"/>
      <c r="C40" s="389"/>
      <c r="D40" s="389"/>
      <c r="E40" s="389"/>
      <c r="F40" s="389"/>
      <c r="G40" s="389"/>
      <c r="H40" s="389"/>
    </row>
    <row r="41" spans="1:8">
      <c r="A41" s="389"/>
      <c r="B41" s="389"/>
      <c r="C41" s="389"/>
      <c r="D41" s="389"/>
      <c r="E41" s="389"/>
      <c r="F41" s="389"/>
      <c r="G41" s="389"/>
      <c r="H41" s="389"/>
    </row>
    <row r="42" spans="1:8">
      <c r="A42" s="389"/>
      <c r="B42" s="389"/>
      <c r="C42" s="389"/>
      <c r="D42" s="389"/>
      <c r="E42" s="389"/>
      <c r="F42" s="389"/>
      <c r="G42" s="389"/>
      <c r="H42" s="389"/>
    </row>
    <row r="43" spans="1:8">
      <c r="A43" s="389"/>
      <c r="B43" s="389"/>
      <c r="C43" s="389"/>
      <c r="D43" s="389"/>
      <c r="E43" s="389"/>
      <c r="F43" s="389"/>
      <c r="G43" s="389"/>
      <c r="H43" s="389"/>
    </row>
  </sheetData>
  <sheetProtection sheet="1" objects="1" scenarios="1"/>
  <mergeCells count="4">
    <mergeCell ref="D8:H11"/>
    <mergeCell ref="D7:H7"/>
    <mergeCell ref="A2:H5"/>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Deal Information</vt:lpstr>
      <vt:lpstr>Definitions</vt:lpstr>
      <vt:lpstr>Deal Analyzer for Flips</vt:lpstr>
      <vt:lpstr>Repair Estimator</vt:lpstr>
      <vt:lpstr>Investment Summary</vt:lpstr>
      <vt:lpstr>Formula Data</vt:lpstr>
      <vt:lpstr>'Deal Analyzer for Flips'!Print_Area</vt:lpstr>
      <vt:lpstr>'Investment Summary'!Print_Area</vt:lpstr>
      <vt:lpstr>'Repair Estimator'!Print_Area</vt:lpstr>
    </vt:vector>
  </TitlesOfParts>
  <Company>Aileron Marketing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Jonnes</dc:creator>
  <cp:lastModifiedBy>Amy Krupinski</cp:lastModifiedBy>
  <cp:lastPrinted>2016-12-30T20:06:04Z</cp:lastPrinted>
  <dcterms:created xsi:type="dcterms:W3CDTF">2014-08-12T21:44:22Z</dcterms:created>
  <dcterms:modified xsi:type="dcterms:W3CDTF">2017-08-08T14:46:07Z</dcterms:modified>
</cp:coreProperties>
</file>